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iti\Downloads\"/>
    </mc:Choice>
  </mc:AlternateContent>
  <xr:revisionPtr revIDLastSave="0" documentId="13_ncr:1_{55E9B2D8-6077-4DDC-BBDC-9CDFBC1EB9D1}" xr6:coauthVersionLast="47" xr6:coauthVersionMax="47" xr10:uidLastSave="{00000000-0000-0000-0000-000000000000}"/>
  <bookViews>
    <workbookView xWindow="-108" yWindow="-108" windowWidth="23256" windowHeight="12456" firstSheet="3" activeTab="7" xr2:uid="{00000000-000D-0000-FFFF-FFFF00000000}"/>
  </bookViews>
  <sheets>
    <sheet name="Introduction" sheetId="13" r:id="rId1"/>
    <sheet name="Economic Assumptions" sheetId="1" r:id="rId2"/>
    <sheet name="Case Inputs" sheetId="2" r:id="rId3"/>
    <sheet name="Annualized Costs" sheetId="3" r:id="rId4"/>
    <sheet name="LCOH " sheetId="4" r:id="rId5"/>
    <sheet name="OAT-Sensitivity" sheetId="6" r:id="rId6"/>
    <sheet name="OAT Scenario Curves" sheetId="7" r:id="rId7"/>
    <sheet name="Two-parameters sensitivity"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2" l="1"/>
  <c r="F53" i="7"/>
  <c r="F52" i="7"/>
  <c r="F51" i="7"/>
  <c r="F50" i="7"/>
  <c r="F49" i="7"/>
  <c r="F48" i="7"/>
  <c r="G47" i="7"/>
  <c r="G48" i="7" s="1"/>
  <c r="G49" i="7" s="1"/>
  <c r="G50" i="7" s="1"/>
  <c r="G51" i="7" s="1"/>
  <c r="G52" i="7" s="1"/>
  <c r="G53" i="7" s="1"/>
  <c r="F47" i="7"/>
  <c r="F46" i="7"/>
  <c r="F45" i="7"/>
  <c r="G44" i="7"/>
  <c r="G45" i="7" s="1"/>
  <c r="G46" i="7" s="1"/>
  <c r="F44" i="7"/>
  <c r="F43" i="7"/>
  <c r="X18" i="7"/>
  <c r="S18" i="7"/>
  <c r="P18" i="7"/>
  <c r="I18" i="7"/>
  <c r="D18" i="7"/>
  <c r="X17" i="7"/>
  <c r="S17" i="7"/>
  <c r="P17" i="7"/>
  <c r="I17" i="7"/>
  <c r="D17" i="7"/>
  <c r="X16" i="7"/>
  <c r="S16" i="7"/>
  <c r="P16" i="7"/>
  <c r="I16" i="7"/>
  <c r="D16" i="7"/>
  <c r="X15" i="7"/>
  <c r="S15" i="7"/>
  <c r="P15" i="7"/>
  <c r="I15" i="7"/>
  <c r="D15" i="7"/>
  <c r="X14" i="7"/>
  <c r="U14" i="7"/>
  <c r="U15" i="7" s="1"/>
  <c r="U16" i="7" s="1"/>
  <c r="U17" i="7" s="1"/>
  <c r="U18" i="7" s="1"/>
  <c r="S14" i="7"/>
  <c r="P14" i="7"/>
  <c r="N14" i="7"/>
  <c r="I14" i="7"/>
  <c r="D14" i="7"/>
  <c r="X13" i="7"/>
  <c r="S13" i="7"/>
  <c r="N13" i="7"/>
  <c r="I13" i="7"/>
  <c r="D13" i="7"/>
  <c r="X12" i="7"/>
  <c r="U12" i="7"/>
  <c r="U13" i="7" s="1"/>
  <c r="S12" i="7"/>
  <c r="P12" i="7"/>
  <c r="N12" i="7"/>
  <c r="I12" i="7"/>
  <c r="D12" i="7"/>
  <c r="X11" i="7"/>
  <c r="U11" i="7"/>
  <c r="S11" i="7"/>
  <c r="P11" i="7"/>
  <c r="N11" i="7"/>
  <c r="I11" i="7"/>
  <c r="D11" i="7"/>
  <c r="X10" i="7"/>
  <c r="S10" i="7"/>
  <c r="P10" i="7"/>
  <c r="N10" i="7"/>
  <c r="I10" i="7"/>
  <c r="F10" i="7"/>
  <c r="F11" i="7" s="1"/>
  <c r="F12" i="7" s="1"/>
  <c r="F13" i="7" s="1"/>
  <c r="F14" i="7" s="1"/>
  <c r="F15" i="7" s="1"/>
  <c r="F16" i="7" s="1"/>
  <c r="F17" i="7" s="1"/>
  <c r="F18" i="7" s="1"/>
  <c r="D10" i="7"/>
  <c r="X9" i="7"/>
  <c r="U9" i="7"/>
  <c r="U10" i="7" s="1"/>
  <c r="S9" i="7"/>
  <c r="P9" i="7"/>
  <c r="N9" i="7"/>
  <c r="I9" i="7"/>
  <c r="F9" i="7"/>
  <c r="D9" i="7"/>
  <c r="A9" i="7"/>
  <c r="A10" i="7" s="1"/>
  <c r="A11" i="7" s="1"/>
  <c r="A12" i="7" s="1"/>
  <c r="A13" i="7" s="1"/>
  <c r="A14" i="7" s="1"/>
  <c r="A15" i="7" s="1"/>
  <c r="A16" i="7" s="1"/>
  <c r="A17" i="7" s="1"/>
  <c r="A18" i="7" s="1"/>
  <c r="Z8" i="7" a="1"/>
  <c r="Z8" i="7" s="1"/>
  <c r="X8" i="7"/>
  <c r="S8" i="7"/>
  <c r="P8" i="7"/>
  <c r="N8" i="7"/>
  <c r="I8" i="7"/>
  <c r="D8" i="7"/>
  <c r="Z6" i="7" a="1"/>
  <c r="Z6" i="7" s="1"/>
  <c r="Z3" i="7"/>
  <c r="J4" i="12" s="1" a="1"/>
  <c r="J4" i="12" s="1"/>
  <c r="O19" i="6"/>
  <c r="O18" i="6"/>
  <c r="O17" i="6"/>
  <c r="O16" i="6"/>
  <c r="O15" i="6"/>
  <c r="O14" i="6"/>
  <c r="O13" i="6"/>
  <c r="O12" i="6"/>
  <c r="O11" i="6"/>
  <c r="O10" i="6"/>
  <c r="O9" i="6"/>
  <c r="O8" i="6"/>
  <c r="AJ3" i="6"/>
  <c r="AF3" i="6"/>
  <c r="AE3" i="6"/>
  <c r="AB3" i="6"/>
  <c r="AA3" i="6"/>
  <c r="Z3" i="6"/>
  <c r="Y3" i="6"/>
  <c r="X3" i="6"/>
  <c r="W3" i="6"/>
  <c r="V3" i="6"/>
  <c r="U3" i="6"/>
  <c r="T3" i="6"/>
  <c r="S3" i="6"/>
  <c r="O3" i="6"/>
  <c r="AI3" i="6" s="1"/>
  <c r="B13" i="4"/>
  <c r="C12" i="4"/>
  <c r="C10" i="4"/>
  <c r="B10" i="4"/>
  <c r="C5" i="4"/>
  <c r="B5" i="4"/>
  <c r="C4" i="4"/>
  <c r="C13" i="4" s="1"/>
  <c r="B4" i="4"/>
  <c r="C18" i="3"/>
  <c r="B18" i="3"/>
  <c r="C17" i="3"/>
  <c r="B17" i="3"/>
  <c r="B12" i="4" s="1"/>
  <c r="C14" i="3"/>
  <c r="B14" i="3"/>
  <c r="C13" i="3"/>
  <c r="B13" i="3"/>
  <c r="C12" i="3"/>
  <c r="B12" i="3"/>
  <c r="C8" i="3"/>
  <c r="C10" i="3" s="1"/>
  <c r="B8" i="3"/>
  <c r="B10" i="3" s="1"/>
  <c r="C7" i="3"/>
  <c r="C9" i="3" s="1"/>
  <c r="C9" i="4" s="1"/>
  <c r="B7" i="3"/>
  <c r="B9" i="3" s="1"/>
  <c r="C6" i="3"/>
  <c r="C8" i="4" s="1"/>
  <c r="B6" i="3"/>
  <c r="B8" i="4" s="1"/>
  <c r="C5" i="3"/>
  <c r="C7" i="4" s="1"/>
  <c r="B5" i="3"/>
  <c r="B7" i="4" s="1"/>
  <c r="D28" i="2"/>
  <c r="C15" i="3" s="1"/>
  <c r="C28" i="2"/>
  <c r="B15" i="3" s="1"/>
  <c r="D7" i="1"/>
  <c r="B9" i="4" l="1"/>
  <c r="J7" i="12"/>
  <c r="B16" i="3"/>
  <c r="P3" i="6"/>
  <c r="C16" i="3"/>
  <c r="J6" i="12"/>
  <c r="AH3" i="6"/>
  <c r="C4" i="3"/>
  <c r="B4" i="3"/>
  <c r="C11" i="3"/>
  <c r="B11" i="3"/>
  <c r="AD3" i="6"/>
  <c r="AC3" i="6"/>
  <c r="AG3" i="6"/>
  <c r="R3" i="6"/>
  <c r="Z4" i="7" a="1"/>
  <c r="Z4" i="7" s="1"/>
  <c r="C20" i="3" l="1"/>
  <c r="C11" i="4"/>
  <c r="B20" i="3"/>
  <c r="B11" i="4"/>
  <c r="C19" i="3"/>
  <c r="C21" i="3" s="1"/>
  <c r="C6" i="4"/>
  <c r="B19" i="3"/>
  <c r="B21" i="3" s="1"/>
  <c r="B6" i="4"/>
  <c r="C16" i="4" l="1"/>
  <c r="D29" i="2"/>
  <c r="C14" i="4"/>
  <c r="C22" i="3"/>
  <c r="B16" i="4"/>
  <c r="C29" i="2"/>
  <c r="B14" i="4"/>
  <c r="B22" i="3"/>
  <c r="Z5" i="7" l="1" a="1"/>
  <c r="Z5" i="7" s="1"/>
  <c r="B17" i="4"/>
  <c r="C30" i="2"/>
  <c r="B15" i="4"/>
  <c r="J5" i="12" a="1"/>
  <c r="J5" i="12" s="1"/>
  <c r="C17" i="4"/>
  <c r="D30" i="2"/>
  <c r="C15" i="4"/>
  <c r="B4" i="6" s="1"/>
  <c r="Q3" i="6"/>
  <c r="F28" i="12" l="1"/>
  <c r="E25" i="12"/>
  <c r="H14" i="12"/>
  <c r="F12" i="12"/>
  <c r="D10" i="12"/>
  <c r="E28" i="12"/>
  <c r="D25" i="12"/>
  <c r="G14" i="12"/>
  <c r="E12" i="12"/>
  <c r="C10" i="12"/>
  <c r="D28" i="12"/>
  <c r="C25" i="12"/>
  <c r="F14" i="12"/>
  <c r="D12" i="12"/>
  <c r="B10" i="12"/>
  <c r="C28" i="12"/>
  <c r="B25" i="12"/>
  <c r="E14" i="12"/>
  <c r="C12" i="12"/>
  <c r="H9" i="12"/>
  <c r="B28" i="12"/>
  <c r="F24" i="12"/>
  <c r="D14" i="12"/>
  <c r="B12" i="12"/>
  <c r="G9" i="12"/>
  <c r="E27" i="12"/>
  <c r="D24" i="12"/>
  <c r="B14" i="12"/>
  <c r="G11" i="12"/>
  <c r="E9" i="12"/>
  <c r="D27" i="12"/>
  <c r="C24" i="12"/>
  <c r="H13" i="12"/>
  <c r="F11" i="12"/>
  <c r="D9" i="12"/>
  <c r="F27" i="12"/>
  <c r="E24" i="12"/>
  <c r="C14" i="12"/>
  <c r="H11" i="12"/>
  <c r="F9" i="12"/>
  <c r="C27" i="12"/>
  <c r="G13" i="12"/>
  <c r="C9" i="12"/>
  <c r="F25" i="12"/>
  <c r="B24" i="12"/>
  <c r="G15" i="12"/>
  <c r="D15" i="12"/>
  <c r="F10" i="12"/>
  <c r="B27" i="12"/>
  <c r="F13" i="12"/>
  <c r="B9" i="12"/>
  <c r="D13" i="12"/>
  <c r="C13" i="12"/>
  <c r="E11" i="12"/>
  <c r="B11" i="12"/>
  <c r="H10" i="12"/>
  <c r="G10" i="12"/>
  <c r="C15" i="12"/>
  <c r="E10" i="12"/>
  <c r="F26" i="12"/>
  <c r="E13" i="12"/>
  <c r="J8" i="12"/>
  <c r="E26" i="12"/>
  <c r="D26" i="12"/>
  <c r="G12" i="12"/>
  <c r="H15" i="12"/>
  <c r="C11" i="12"/>
  <c r="E15" i="12"/>
  <c r="C26" i="12"/>
  <c r="B13" i="12"/>
  <c r="B26" i="12"/>
  <c r="H12" i="12"/>
  <c r="D11" i="12"/>
  <c r="F15" i="12"/>
  <c r="B15" i="12"/>
  <c r="G17" i="7" a="1"/>
  <c r="G17" i="7" s="1"/>
  <c r="Q15" i="7"/>
  <c r="Q11" i="7"/>
  <c r="Q8" i="7"/>
  <c r="V10" i="7"/>
  <c r="B10" i="7" a="1"/>
  <c r="B10" i="7" s="1"/>
  <c r="G9" i="7" a="1"/>
  <c r="G9" i="7" s="1"/>
  <c r="G16" i="7" a="1"/>
  <c r="G16" i="7" s="1"/>
  <c r="Q14" i="7"/>
  <c r="B13" i="7" a="1"/>
  <c r="B13" i="7" s="1"/>
  <c r="G12" i="7" a="1"/>
  <c r="G12" i="7" s="1"/>
  <c r="B18" i="7" a="1"/>
  <c r="B18" i="7" s="1"/>
  <c r="V13" i="7"/>
  <c r="G15" i="7" a="1"/>
  <c r="G15" i="7" s="1"/>
  <c r="L11" i="7"/>
  <c r="M11" i="7" s="1"/>
  <c r="L8" i="7"/>
  <c r="M8" i="7" s="1"/>
  <c r="V18" i="7"/>
  <c r="L14" i="7"/>
  <c r="M14" i="7" s="1"/>
  <c r="V9" i="7"/>
  <c r="B9" i="7" a="1"/>
  <c r="B9" i="7" s="1"/>
  <c r="B16" i="7" a="1"/>
  <c r="B16" i="7" s="1"/>
  <c r="Q13" i="7"/>
  <c r="V12" i="7"/>
  <c r="B12" i="7" a="1"/>
  <c r="B12" i="7" s="1"/>
  <c r="G11" i="7" a="1"/>
  <c r="G11" i="7" s="1"/>
  <c r="G8" i="7" a="1"/>
  <c r="G8" i="7" s="1"/>
  <c r="B17" i="7" a="1"/>
  <c r="B17" i="7" s="1"/>
  <c r="Q10" i="7"/>
  <c r="V15" i="7"/>
  <c r="B11" i="7" a="1"/>
  <c r="B11" i="7" s="1"/>
  <c r="V8" i="7"/>
  <c r="G14" i="7" a="1"/>
  <c r="G14" i="7" s="1"/>
  <c r="B15" i="7" a="1"/>
  <c r="B15" i="7" s="1"/>
  <c r="L10" i="7"/>
  <c r="M10" i="7" s="1"/>
  <c r="Q12" i="7"/>
  <c r="Q17" i="7"/>
  <c r="V14" i="7"/>
  <c r="L12" i="7"/>
  <c r="Q18" i="7"/>
  <c r="V16" i="7"/>
  <c r="B8" i="7" a="1"/>
  <c r="B8" i="7" s="1"/>
  <c r="G10" i="7" a="1"/>
  <c r="G10" i="7" s="1"/>
  <c r="G13" i="7" a="1"/>
  <c r="G13" i="7" s="1"/>
  <c r="Q9" i="7"/>
  <c r="L9" i="7"/>
  <c r="Q16" i="7"/>
  <c r="V17" i="7"/>
  <c r="B14" i="7" a="1"/>
  <c r="B14" i="7" s="1"/>
  <c r="Z7" i="7"/>
  <c r="L13" i="7"/>
  <c r="M13" i="7" s="1"/>
  <c r="G18" i="7" a="1"/>
  <c r="G18" i="7" s="1"/>
  <c r="V11" i="7"/>
  <c r="F16" i="6"/>
  <c r="G13" i="6"/>
  <c r="F13" i="6"/>
  <c r="G10" i="6"/>
  <c r="F10" i="6"/>
  <c r="G17" i="6"/>
  <c r="F17" i="6"/>
  <c r="G14" i="6"/>
  <c r="F14" i="6"/>
  <c r="G11" i="6"/>
  <c r="F15" i="6"/>
  <c r="G12" i="6"/>
  <c r="F12" i="6"/>
  <c r="G9" i="6"/>
  <c r="F11" i="6"/>
  <c r="G8" i="6"/>
  <c r="G15" i="6"/>
  <c r="F19" i="6"/>
  <c r="F18" i="6"/>
  <c r="G16" i="6"/>
  <c r="G19" i="6"/>
  <c r="F9" i="6"/>
  <c r="G18" i="6"/>
  <c r="F8" i="6"/>
  <c r="B4" i="7"/>
  <c r="C5" i="12"/>
  <c r="W14" i="7" l="1"/>
  <c r="J49" i="7"/>
  <c r="W10" i="7"/>
  <c r="J45" i="7"/>
  <c r="K47" i="7"/>
  <c r="R12" i="7"/>
  <c r="I9" i="6"/>
  <c r="Q10" i="6" s="1"/>
  <c r="K9" i="6"/>
  <c r="H17" i="7"/>
  <c r="H52" i="7"/>
  <c r="I46" i="7"/>
  <c r="C11" i="7"/>
  <c r="K45" i="7"/>
  <c r="R10" i="7"/>
  <c r="K18" i="6"/>
  <c r="I18" i="6"/>
  <c r="Q14" i="6" s="1"/>
  <c r="J17" i="6"/>
  <c r="H17" i="6"/>
  <c r="P16" i="6" s="1"/>
  <c r="H48" i="7"/>
  <c r="H13" i="7"/>
  <c r="C17" i="7"/>
  <c r="I52" i="7"/>
  <c r="H12" i="7"/>
  <c r="H47" i="7"/>
  <c r="K43" i="7"/>
  <c r="R8" i="7"/>
  <c r="H53" i="7"/>
  <c r="H18" i="7"/>
  <c r="I50" i="7"/>
  <c r="C15" i="7"/>
  <c r="I49" i="7"/>
  <c r="C14" i="7"/>
  <c r="J14" i="6"/>
  <c r="H14" i="6"/>
  <c r="P8" i="6" s="1"/>
  <c r="J50" i="7"/>
  <c r="W15" i="7"/>
  <c r="K17" i="6"/>
  <c r="I17" i="6"/>
  <c r="Q16" i="6" s="1"/>
  <c r="H43" i="7"/>
  <c r="H8" i="7"/>
  <c r="I19" i="6"/>
  <c r="Q19" i="6" s="1"/>
  <c r="K19" i="6"/>
  <c r="I43" i="7"/>
  <c r="C8" i="7"/>
  <c r="R14" i="7"/>
  <c r="K49" i="7"/>
  <c r="J16" i="6"/>
  <c r="H16" i="6"/>
  <c r="P11" i="6" s="1"/>
  <c r="K46" i="7"/>
  <c r="R11" i="7"/>
  <c r="K51" i="7"/>
  <c r="R16" i="7"/>
  <c r="K14" i="6"/>
  <c r="I14" i="6"/>
  <c r="Q8" i="6" s="1"/>
  <c r="H9" i="6"/>
  <c r="P10" i="6" s="1"/>
  <c r="J9" i="6"/>
  <c r="C13" i="7"/>
  <c r="I48" i="7"/>
  <c r="H10" i="6"/>
  <c r="P9" i="6" s="1"/>
  <c r="J10" i="6"/>
  <c r="H46" i="7"/>
  <c r="H11" i="7"/>
  <c r="K16" i="6"/>
  <c r="I16" i="6"/>
  <c r="Q11" i="6" s="1"/>
  <c r="I10" i="6"/>
  <c r="Q9" i="6" s="1"/>
  <c r="K10" i="6"/>
  <c r="J51" i="7"/>
  <c r="W16" i="7"/>
  <c r="C12" i="7"/>
  <c r="I47" i="7"/>
  <c r="H16" i="7"/>
  <c r="H51" i="7"/>
  <c r="K15" i="6"/>
  <c r="I15" i="6"/>
  <c r="Q13" i="6" s="1"/>
  <c r="K52" i="7"/>
  <c r="R17" i="7"/>
  <c r="C9" i="7"/>
  <c r="I44" i="7"/>
  <c r="J11" i="6"/>
  <c r="H11" i="6"/>
  <c r="P17" i="6" s="1"/>
  <c r="W9" i="7"/>
  <c r="J44" i="7"/>
  <c r="J12" i="6"/>
  <c r="H12" i="6"/>
  <c r="P15" i="6" s="1"/>
  <c r="J53" i="7"/>
  <c r="W18" i="7"/>
  <c r="H14" i="7"/>
  <c r="H49" i="7"/>
  <c r="W17" i="7"/>
  <c r="J52" i="7"/>
  <c r="H15" i="7"/>
  <c r="H50" i="7"/>
  <c r="M9" i="7"/>
  <c r="J48" i="7"/>
  <c r="W13" i="7"/>
  <c r="J8" i="6"/>
  <c r="H8" i="6"/>
  <c r="P12" i="6" s="1"/>
  <c r="C18" i="7"/>
  <c r="I53" i="7"/>
  <c r="K53" i="7"/>
  <c r="R18" i="7"/>
  <c r="W12" i="7"/>
  <c r="J47" i="7"/>
  <c r="H9" i="7"/>
  <c r="H44" i="7"/>
  <c r="I51" i="7"/>
  <c r="C16" i="7"/>
  <c r="K8" i="6"/>
  <c r="I8" i="6"/>
  <c r="Q12" i="6" s="1"/>
  <c r="W11" i="7"/>
  <c r="J46" i="7"/>
  <c r="K50" i="7"/>
  <c r="R15" i="7"/>
  <c r="I12" i="6"/>
  <c r="Q15" i="6" s="1"/>
  <c r="K12" i="6"/>
  <c r="J15" i="6"/>
  <c r="H15" i="6"/>
  <c r="P13" i="6" s="1"/>
  <c r="J43" i="7"/>
  <c r="W8" i="7"/>
  <c r="K11" i="6"/>
  <c r="I11" i="6"/>
  <c r="Q17" i="6" s="1"/>
  <c r="R9" i="7"/>
  <c r="K44" i="7"/>
  <c r="H45" i="7"/>
  <c r="H10" i="7"/>
  <c r="J18" i="6"/>
  <c r="H18" i="6"/>
  <c r="P14" i="6" s="1"/>
  <c r="H13" i="6"/>
  <c r="P18" i="6" s="1"/>
  <c r="J13" i="6"/>
  <c r="J19" i="6"/>
  <c r="H19" i="6"/>
  <c r="P19" i="6" s="1"/>
  <c r="I13" i="6"/>
  <c r="Q18" i="6" s="1"/>
  <c r="K13" i="6"/>
  <c r="M12" i="7"/>
  <c r="K48" i="7"/>
  <c r="R13" i="7"/>
  <c r="C10" i="7"/>
  <c r="I45" i="7"/>
  <c r="L16" i="6" l="1"/>
  <c r="R11" i="6"/>
  <c r="L11" i="6"/>
  <c r="R17" i="6"/>
  <c r="R18" i="6"/>
  <c r="L13" i="6"/>
  <c r="L14" i="6"/>
  <c r="R8" i="6"/>
  <c r="L18" i="6"/>
  <c r="R14" i="6"/>
  <c r="R12" i="6"/>
  <c r="L8" i="6"/>
  <c r="R19" i="6"/>
  <c r="L19" i="6"/>
  <c r="L9" i="6"/>
  <c r="R10" i="6"/>
  <c r="R16" i="6"/>
  <c r="L17" i="6"/>
  <c r="R15" i="6"/>
  <c r="L12" i="6"/>
  <c r="L15" i="6"/>
  <c r="R13" i="6"/>
  <c r="R9" i="6"/>
  <c r="L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Dhakal Aditi</author>
  </authors>
  <commentList>
    <comment ref="B16" authorId="0" shapeId="0" xr:uid="{00000000-0006-0000-0300-000001000000}">
      <text>
        <r>
          <rPr>
            <sz val="11"/>
            <rFont val="Carlito"/>
          </rPr>
          <t>Dhakal Aditi:
Full Load Hours = (mH2 annual * SEC of Elec)/Power of Elec
Nreplacement interval = stack durability / FLH
Replacement investment, Cstack = CAPEX of Elec * fstack
Annual reserve = Cstack / Nreplacement interval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<sst xmlns="http://schemas.openxmlformats.org/spreadsheetml/2006/main" count="432" uniqueCount="290">
  <si>
    <t xml:space="preserve">Introduction - Levelized Cost of Hydrogen (LCOH) </t>
  </si>
  <si>
    <t>Overview</t>
  </si>
  <si>
    <t>Agora Energiewende (2023)</t>
  </si>
  <si>
    <t>Silva et.al. (2024)</t>
  </si>
  <si>
    <t>Workbook Navigation</t>
  </si>
  <si>
    <t>Economic Assumptions</t>
  </si>
  <si>
    <t>Technical and economic assumptions</t>
  </si>
  <si>
    <t>Case Inputs</t>
  </si>
  <si>
    <t>Input data from Optimization results of the System. Case 1 represents  low-pressure storage of hydrogen at 30 bar and Case 2 represents high-pressure storage of hydrogen at 300 bar.</t>
  </si>
  <si>
    <t>Annualized Costs</t>
  </si>
  <si>
    <t>Calculation of equivalent annual costs of system components, including annualized capital expenditures (CAPEX) and operating expenditures (OPEX)</t>
  </si>
  <si>
    <t>Cost calculations and LCOH calculations</t>
  </si>
  <si>
    <t xml:space="preserve">OAT-Sensitivity </t>
  </si>
  <si>
    <t>One-at-a-Time (OAT) sensitivity analysis results, illustrating the impact of individual parameter variations on LCOH across different system scenarios</t>
  </si>
  <si>
    <t>Evaluates the combined impact of variations in electrolyzer CAPEX and hydrogen storage costs on LCOH across case 1 and 2 configurations</t>
  </si>
  <si>
    <t>Technical and Economic Assumptions</t>
  </si>
  <si>
    <t>Category</t>
  </si>
  <si>
    <t>Parameter</t>
  </si>
  <si>
    <t>Unit</t>
  </si>
  <si>
    <t>Base value</t>
  </si>
  <si>
    <t>Source / note</t>
  </si>
  <si>
    <t>General</t>
  </si>
  <si>
    <t>Discount rate</t>
  </si>
  <si>
    <t>%</t>
  </si>
  <si>
    <t>Assumption</t>
  </si>
  <si>
    <t>Project lifetime</t>
  </si>
  <si>
    <t>years</t>
  </si>
  <si>
    <t>PV</t>
  </si>
  <si>
    <t>PV system CAPEX</t>
  </si>
  <si>
    <t>€</t>
  </si>
  <si>
    <t xml:space="preserve">Base value for 60kWp, 1000€ per kWp, Source:  https://iea-pvps.org/national_survey/nsr-austria-2024/ </t>
  </si>
  <si>
    <t>PV lifetime</t>
  </si>
  <si>
    <t>PV O&amp;M rate</t>
  </si>
  <si>
    <t>% of CAPEX/yr</t>
  </si>
  <si>
    <t>https://www.frontiersin.org/journals/energy-research/articles/10.3389/fenrg.2024.1380543/full</t>
  </si>
  <si>
    <t>Installed PV capacity</t>
  </si>
  <si>
    <t>kWp</t>
  </si>
  <si>
    <t>array size: 190 × 320 W = 60 kWp</t>
  </si>
  <si>
    <t>PV CAPEX rate</t>
  </si>
  <si>
    <t>€/kWp</t>
  </si>
  <si>
    <t xml:space="preserve"> IEA PVPS Austria survey</t>
  </si>
  <si>
    <t>Electrolyzer</t>
  </si>
  <si>
    <t>Electrolyzer CAPEX</t>
  </si>
  <si>
    <t>https://h2-batarow.com/en/electrolyzer/ely-22</t>
  </si>
  <si>
    <t>Electrolyzer system lifetime</t>
  </si>
  <si>
    <t>Electrolyzer O&amp;M rate</t>
  </si>
  <si>
    <t>Stack replacement share</t>
  </si>
  <si>
    <t>% of ELY CAPEX</t>
  </si>
  <si>
    <t>Stack durability</t>
  </si>
  <si>
    <t>full-load hours</t>
  </si>
  <si>
    <t>Compressor</t>
  </si>
  <si>
    <t>Compressor CAPEX</t>
  </si>
  <si>
    <t>https://h2-batarow.com/en/compressor</t>
  </si>
  <si>
    <t>Compressor lifetime</t>
  </si>
  <si>
    <t>Compressor O&amp;M rate</t>
  </si>
  <si>
    <t>Storage</t>
  </si>
  <si>
    <t>LP storage cost</t>
  </si>
  <si>
    <t>€/kg H₂ capacity</t>
  </si>
  <si>
    <t>HP storage cost</t>
  </si>
  <si>
    <t xml:space="preserve">https://h2-batarow.com/en/s-1-eng </t>
  </si>
  <si>
    <t>Storage lifetime</t>
  </si>
  <si>
    <t>Storage O&amp;M rate</t>
  </si>
  <si>
    <t>PV CAPEX allocation to H₂ system</t>
  </si>
  <si>
    <t>Editable: 100% = full PV CAPEX allocated to hydrogen</t>
  </si>
  <si>
    <t>Electrolyzer SEC</t>
  </si>
  <si>
    <t>kWh/kg H₂</t>
  </si>
  <si>
    <t>Simulink model result</t>
  </si>
  <si>
    <t>Compressor SEC</t>
  </si>
  <si>
    <t>Revenue</t>
  </si>
  <si>
    <t>Feed-in tariff</t>
  </si>
  <si>
    <t>€/kWh</t>
  </si>
  <si>
    <t xml:space="preserve">Optimization Case Inputs </t>
  </si>
  <si>
    <t>KPI</t>
  </si>
  <si>
    <t>Case 1</t>
  </si>
  <si>
    <t>Case 2</t>
  </si>
  <si>
    <t>Notes</t>
  </si>
  <si>
    <t>Case description</t>
  </si>
  <si>
    <t>-</t>
  </si>
  <si>
    <t>LP storage, demand-matching</t>
  </si>
  <si>
    <t>HP storage, demand-matching</t>
  </si>
  <si>
    <t>Optimization cases</t>
  </si>
  <si>
    <t>Annual H₂ demand</t>
  </si>
  <si>
    <t>kg/yr</t>
  </si>
  <si>
    <t>Roaster demand</t>
  </si>
  <si>
    <t>Annual H₂ production</t>
  </si>
  <si>
    <t>Optimization summary</t>
  </si>
  <si>
    <t>PV to electrolyzer</t>
  </si>
  <si>
    <t>kWh/yr</t>
  </si>
  <si>
    <t>Total grid electricity</t>
  </si>
  <si>
    <t>ELY + compressor + site; Optimization summary</t>
  </si>
  <si>
    <t>PV exported</t>
  </si>
  <si>
    <t>Total grid electricity cost</t>
  </si>
  <si>
    <t>€/yr</t>
  </si>
  <si>
    <t>ELY + compressor + site grid cost; Optimization summary</t>
  </si>
  <si>
    <t>Compressor energy</t>
  </si>
  <si>
    <t>Case 1 = 0</t>
  </si>
  <si>
    <t>LP storage capacity</t>
  </si>
  <si>
    <t>kg H₂</t>
  </si>
  <si>
    <t>HP storage capacity</t>
  </si>
  <si>
    <t>LP internal volume</t>
  </si>
  <si>
    <t>m³</t>
  </si>
  <si>
    <t>HP internal volume</t>
  </si>
  <si>
    <t>Reported storage investment</t>
  </si>
  <si>
    <t>Cross-check only; cost sheet recalculates CAPEX</t>
  </si>
  <si>
    <t>H₂ supplied to roaster</t>
  </si>
  <si>
    <t>Annual H₂ surplus</t>
  </si>
  <si>
    <t>Production minus demand</t>
  </si>
  <si>
    <t>Grid to electrolyzer</t>
  </si>
  <si>
    <t>Grid to compressor</t>
  </si>
  <si>
    <t>Grid to site loads</t>
  </si>
  <si>
    <t>Grid cost – electrolyzer</t>
  </si>
  <si>
    <t>Grid cost – compressor</t>
  </si>
  <si>
    <t>Grid cost – site loads</t>
  </si>
  <si>
    <t>PV to compressor</t>
  </si>
  <si>
    <t>PV to site loads</t>
  </si>
  <si>
    <t>Feed-in revenue</t>
  </si>
  <si>
    <t>Calculated from PV export × base tariff</t>
  </si>
  <si>
    <t>Electrolyzer full-load hours</t>
  </si>
  <si>
    <t>h/yr</t>
  </si>
  <si>
    <t xml:space="preserve"> = (Annual H2 * SEC of electrolyzer)/Power of Electrolyzer (10kW)</t>
  </si>
  <si>
    <t>Gross annual system cost</t>
  </si>
  <si>
    <t>Calculated in Annualized Costs</t>
  </si>
  <si>
    <t>Net annual system cost</t>
  </si>
  <si>
    <t>Gross cost less feed-in revenue</t>
  </si>
  <si>
    <t>Annualized Cost Calculation – Gross and Net of Feed-in Revenue</t>
  </si>
  <si>
    <t>Cost component</t>
  </si>
  <si>
    <t>Formula logic</t>
  </si>
  <si>
    <t>PV annualized CAPEX</t>
  </si>
  <si>
    <t>PV CAPEX × CRF(PV life)</t>
  </si>
  <si>
    <t>Electrolyzer annualized CAPEX</t>
  </si>
  <si>
    <t>ELY CAPEX × CRF(ELY life)</t>
  </si>
  <si>
    <t>Compressor annualized CAPEX</t>
  </si>
  <si>
    <t>Compressor CAPEX × CRF; zero in Case 1</t>
  </si>
  <si>
    <t>LP storage CAPEX</t>
  </si>
  <si>
    <t>LP capacity × LP €/kg</t>
  </si>
  <si>
    <t>HP storage CAPEX</t>
  </si>
  <si>
    <t>HP capacity × HP €/kg</t>
  </si>
  <si>
    <t>LP storage annualized CAPEX</t>
  </si>
  <si>
    <t>LP CAPEX × CRF(storage life)</t>
  </si>
  <si>
    <t>HP storage annualized CAPEX</t>
  </si>
  <si>
    <t>HP CAPEX × CRF(storage life)</t>
  </si>
  <si>
    <t>PV O&amp;M</t>
  </si>
  <si>
    <t>PV CAPEX × PV O&amp;M rate</t>
  </si>
  <si>
    <t>Electrolyzer O&amp;M</t>
  </si>
  <si>
    <t>ELY CAPEX × ELY O&amp;M rate</t>
  </si>
  <si>
    <t>Compressor O&amp;M</t>
  </si>
  <si>
    <t>Compressor CAPEX × O&amp;M; zero in Case 1</t>
  </si>
  <si>
    <t>Storage O&amp;M</t>
  </si>
  <si>
    <t>(LP + HP CAPEX) × storage O&amp;M</t>
  </si>
  <si>
    <t>Stack replacement interval</t>
  </si>
  <si>
    <t>Stack durability / FLH of electrolyzer</t>
  </si>
  <si>
    <t>Stack replacement annual reserve</t>
  </si>
  <si>
    <t xml:space="preserve">Stack replacement reserve using FLH </t>
  </si>
  <si>
    <t>Annual grid electricity cost</t>
  </si>
  <si>
    <t>Linked total grid cost from optimization</t>
  </si>
  <si>
    <t>PV export × feed-in tariff</t>
  </si>
  <si>
    <t>Total annualized CAPEX</t>
  </si>
  <si>
    <t>Sum annualized CAPEX</t>
  </si>
  <si>
    <t>Gross annual OPEX</t>
  </si>
  <si>
    <t>O&amp;M + replacement + grid cost</t>
  </si>
  <si>
    <t>CAPEX + gross OPEX</t>
  </si>
  <si>
    <t>Gross cost − feed-in revenue</t>
  </si>
  <si>
    <t>Metric</t>
  </si>
  <si>
    <t>Annual H₂ production (kg/yr)</t>
  </si>
  <si>
    <t>H₂ supplied to roaster (kg/yr)</t>
  </si>
  <si>
    <t>PV contribution (€/kg produced)</t>
  </si>
  <si>
    <t>Electrolyzer contribution (€/kg produced)</t>
  </si>
  <si>
    <t>Compressor contribution (€/kg produced)</t>
  </si>
  <si>
    <t>LP storage contribution (€/kg produced)</t>
  </si>
  <si>
    <t>HP storage contribution (€/kg produced)</t>
  </si>
  <si>
    <t>O&amp;M + replacement contribution (€/kg produced)</t>
  </si>
  <si>
    <t>Grid electricity contribution (€/kg produced)</t>
  </si>
  <si>
    <t>Feed-in revenue credit (€/kg produced)</t>
  </si>
  <si>
    <t>Gross production LCOH (€/kg)</t>
  </si>
  <si>
    <t>*without revenue, all annual costs dividied by annual H2 produced</t>
  </si>
  <si>
    <t>Net production LCOH (€/kg)</t>
  </si>
  <si>
    <t>*with revenue, (annual cost - feed in revenue)/annual H2 produced</t>
  </si>
  <si>
    <t>Gross annual system cost (€/yr)</t>
  </si>
  <si>
    <t>Net annual system cost (€/yr)</t>
  </si>
  <si>
    <t xml:space="preserve">Sensitivity Calculation </t>
  </si>
  <si>
    <t>METHOD</t>
  </si>
  <si>
    <t>One-at-a-time (OAT)</t>
  </si>
  <si>
    <t>Case index</t>
  </si>
  <si>
    <t>Annual H2</t>
  </si>
  <si>
    <t>Base total</t>
  </si>
  <si>
    <t>PV CAPEX</t>
  </si>
  <si>
    <t>PV life</t>
  </si>
  <si>
    <t>ELY CAPEX</t>
  </si>
  <si>
    <t>ELY life</t>
  </si>
  <si>
    <t>ELY O&amp;M</t>
  </si>
  <si>
    <t>Stack share</t>
  </si>
  <si>
    <t>Comp CAPEX</t>
  </si>
  <si>
    <t>Comp life</t>
  </si>
  <si>
    <t>Comp O&amp;M</t>
  </si>
  <si>
    <t>LP CAPEX</t>
  </si>
  <si>
    <t>HP CAPEX</t>
  </si>
  <si>
    <t>Storage life</t>
  </si>
  <si>
    <t>Grid cost</t>
  </si>
  <si>
    <t>Grid energy</t>
  </si>
  <si>
    <t>Comp energy</t>
  </si>
  <si>
    <t>Rate</t>
  </si>
  <si>
    <t>ELY SEC</t>
  </si>
  <si>
    <t>Comp SEC</t>
  </si>
  <si>
    <t>Selected case</t>
  </si>
  <si>
    <t>Base LCOH (€/kg)</t>
  </si>
  <si>
    <t>One-at-a-Time Sensitivity Inputs and Results</t>
  </si>
  <si>
    <t>Tornado Chart Data</t>
  </si>
  <si>
    <t>Base</t>
  </si>
  <si>
    <t>Low</t>
  </si>
  <si>
    <t>High</t>
  </si>
  <si>
    <t>Low LCOH</t>
  </si>
  <si>
    <t>High LCOH</t>
  </si>
  <si>
    <t>Low Δ</t>
  </si>
  <si>
    <t>High Δ</t>
  </si>
  <si>
    <t>Lower endpoint</t>
  </si>
  <si>
    <t>Range</t>
  </si>
  <si>
    <t>Rank</t>
  </si>
  <si>
    <t>Method</t>
  </si>
  <si>
    <t>Impact</t>
  </si>
  <si>
    <t>Grid electricity cost</t>
  </si>
  <si>
    <t>multiplier</t>
  </si>
  <si>
    <t>Scale annual grid cost</t>
  </si>
  <si>
    <t>PV Investment CAPEX</t>
  </si>
  <si>
    <t>PV annualized CAPEX + PV O&amp;M</t>
  </si>
  <si>
    <t>ELY annualized CAPEX + O&amp;M + stack reserve</t>
  </si>
  <si>
    <t>Compressor annualized CAPEX + O&amp;M</t>
  </si>
  <si>
    <t>LP annualized CAPEX + O&amp;M</t>
  </si>
  <si>
    <t>HP annualized CAPEX + O&amp;M</t>
  </si>
  <si>
    <t>Recalculate all CRFs</t>
  </si>
  <si>
    <t>Recalculate PV CRF</t>
  </si>
  <si>
    <t>Electrolyzer lifetime</t>
  </si>
  <si>
    <t>Recalculate ELY CRF</t>
  </si>
  <si>
    <t>Recalculate storage CRFs</t>
  </si>
  <si>
    <t>kWh/kg</t>
  </si>
  <si>
    <t>Scale grid cost at fixed dispatch shares</t>
  </si>
  <si>
    <t>Scale compressor-related grid energy</t>
  </si>
  <si>
    <t>Findings</t>
  </si>
  <si>
    <t>Case 1 and 2</t>
  </si>
  <si>
    <t>1. Discount rate has highest influence, suggests that project economics depends on financing conditions and cost of capital.</t>
  </si>
  <si>
    <t>2. PV CAPEX is the major driver</t>
  </si>
  <si>
    <t>3. Electrolyzer CAPEX is equally important</t>
  </si>
  <si>
    <t xml:space="preserve">Scenario Curves </t>
  </si>
  <si>
    <t>Case idx</t>
  </si>
  <si>
    <t>Base LCOH</t>
  </si>
  <si>
    <t>Base net annual system cost</t>
  </si>
  <si>
    <t>Electrolyzer SEC Curve</t>
  </si>
  <si>
    <t>Discount Rate</t>
  </si>
  <si>
    <t>Grid Cost Curve</t>
  </si>
  <si>
    <t>Base total grid cost</t>
  </si>
  <si>
    <t>Multiplier</t>
  </si>
  <si>
    <t>LCOH</t>
  </si>
  <si>
    <t>Change</t>
  </si>
  <si>
    <t>Selected Case</t>
  </si>
  <si>
    <t xml:space="preserve"> Multiplier</t>
  </si>
  <si>
    <t>ELY SEC (kWh/kg)</t>
  </si>
  <si>
    <t xml:space="preserve"> Multiplier  </t>
  </si>
  <si>
    <t>Base net LCOH</t>
  </si>
  <si>
    <t>Grid Cost - Electrolyzer</t>
  </si>
  <si>
    <t>System economics is not highly sensitive to electrolyzer efficiency.</t>
  </si>
  <si>
    <t xml:space="preserve">At 50% reduction in electricity cost, LCOH reduces by 1.9eur/kg. </t>
  </si>
  <si>
    <t>Electrolyzer CAPEX infuence is higher and linear</t>
  </si>
  <si>
    <t xml:space="preserve">Electricity price has stronger influence on LCOH than SEC. </t>
  </si>
  <si>
    <t>But not all the time.</t>
  </si>
  <si>
    <t xml:space="preserve">If electricity becomes expensive, electrolyzer can operate differently looking at the price hour, PV utilization could change, storage usage could change (we can opt for more storage than required). This will ultimately make grid cost vs LCOH non- linear </t>
  </si>
  <si>
    <t>Case</t>
  </si>
  <si>
    <t>Factor</t>
  </si>
  <si>
    <t>Grid Cost</t>
  </si>
  <si>
    <t xml:space="preserve">  </t>
  </si>
  <si>
    <t xml:space="preserve"> </t>
  </si>
  <si>
    <t>Two-Way LCOH Sensitivity Analysis</t>
  </si>
  <si>
    <t>Two-parameter (bivariate) sensitivity</t>
  </si>
  <si>
    <t>Annual H2 (Kg)</t>
  </si>
  <si>
    <t>ELY-sensitive annual cost (€/yr)</t>
  </si>
  <si>
    <t>Electrolyzer CAPEX × Storage Cost — LCOH Matrix (€/kg H₂)</t>
  </si>
  <si>
    <t>Storage-sensitive annual cost (€/yr)</t>
  </si>
  <si>
    <t>ELY CAPEX ↓ / Storage cost →</t>
  </si>
  <si>
    <t>Interpretation</t>
  </si>
  <si>
    <t>Each cell shows net production LCOH when Electrolyzer CAPEX and storage cost are varied simultaneously.</t>
  </si>
  <si>
    <t>100% / 100% is the selected case base LCOH.</t>
  </si>
  <si>
    <t>Electrolyzer CAPEX variation includes annualized ELY CAPEX, ELY O&amp;M and stack replacement reserve</t>
  </si>
  <si>
    <t>Storage cost variation includes LP + HP annualized storage CAPEX and storage O&amp;M;</t>
  </si>
  <si>
    <t>This workbook evaluates the Levelized Cost of Hydrogen (LCOH) for two PV-integrated hydrogen configurations serving an industrial coffee roasting application: Case 1 (30 bar low-pressure storage) and Case 2 (300 bar high-pressure storage). Technical and operational inputs originate from MATLAB/Simulink simulations and MILP optimization results. Annualized cost calculations and one-at-a-time and two-parameter sensitivity analyses are provided.</t>
  </si>
  <si>
    <t>OAT Scenario Curves</t>
  </si>
  <si>
    <t>Two-parameters sensitivity</t>
  </si>
  <si>
    <t>Levelized Cost of Hydrogen by Case – Gross, Net</t>
  </si>
  <si>
    <t xml:space="preserve">https://www.frontiersin.org/journals/energy-research/articles/10.3389/fenrg.2024.1380543/full </t>
  </si>
  <si>
    <t>One-at-a-time (OAT) sensitivity analysis with ±20 % variation in base value; results interpreted in Tornado chart</t>
  </si>
  <si>
    <r>
      <rPr>
        <b/>
        <sz val="11"/>
        <rFont val="Calibri"/>
        <family val="2"/>
        <scheme val="minor"/>
      </rPr>
      <t>Figure 1</t>
    </r>
    <r>
      <rPr>
        <sz val="11"/>
        <rFont val="Calibri"/>
        <family val="2"/>
        <scheme val="minor"/>
      </rPr>
      <t>: Schematic diagram of integrated simulation and optimization framework used in the project for the input data</t>
    </r>
  </si>
  <si>
    <r>
      <rPr>
        <b/>
        <sz val="11"/>
        <rFont val="Calibri"/>
        <family val="2"/>
        <scheme val="minor"/>
      </rPr>
      <t>Figure 2</t>
    </r>
    <r>
      <rPr>
        <sz val="11"/>
        <rFont val="Calibri"/>
        <family val="2"/>
        <scheme val="minor"/>
      </rPr>
      <t>: LCOH calculation formula used for economic assessment</t>
    </r>
  </si>
  <si>
    <t>LCOH 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</si>
</sst>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Red]\(#,##0.00\);\-"/>
    <numFmt numFmtId="165" formatCode="0.00%;[Red]\(0.00%\);\-"/>
    <numFmt numFmtId="168" formatCode="\€0.00;[Red]\(\€0.00\);\-"/>
    <numFmt numFmtId="169" formatCode="0.00\x"/>
    <numFmt numFmtId="172" formatCode="0.0%"/>
    <numFmt numFmtId="173" formatCode="_-[$€-C07]\ * #,##0.00_-;\-[$€-C07]\ * #,##0.00_-;_-[$€-C07]\ * &quot;-&quot;??_-;_-@_-"/>
  </numFmts>
  <fonts count="30">
    <font>
      <sz val="11"/>
      <name val="Carlito"/>
    </font>
    <font>
      <sz val="11"/>
      <color theme="1"/>
      <name val="Calibri"/>
    </font>
    <font>
      <sz val="11"/>
      <color theme="10"/>
      <name val="Carlito"/>
    </font>
    <font>
      <b/>
      <sz val="16"/>
      <color rgb="FFFFFFFF"/>
      <name val="Calibri"/>
    </font>
    <font>
      <sz val="11"/>
      <name val="Calibri"/>
    </font>
    <font>
      <b/>
      <sz val="11"/>
      <color rgb="FFFFFFFF"/>
      <name val="Calibri"/>
    </font>
    <font>
      <b/>
      <sz val="11"/>
      <color rgb="FF008000"/>
      <name val="Calibri"/>
    </font>
    <font>
      <sz val="11"/>
      <color rgb="FF0000FF"/>
      <name val="Calibri"/>
    </font>
    <font>
      <sz val="11"/>
      <color rgb="FF008000"/>
      <name val="Calibri"/>
    </font>
    <font>
      <b/>
      <sz val="14"/>
      <color rgb="FFFFFFFF"/>
      <name val="Calibri"/>
    </font>
    <font>
      <b/>
      <sz val="11"/>
      <name val="Calibri"/>
    </font>
    <font>
      <b/>
      <sz val="11"/>
      <color rgb="FF17365D"/>
      <name val="Calibri"/>
    </font>
    <font>
      <b/>
      <sz val="11"/>
      <color theme="0"/>
      <name val="Calibri"/>
    </font>
    <font>
      <b/>
      <sz val="11"/>
      <color rgb="FFFFFFFF"/>
      <name val="Calibri"/>
    </font>
    <font>
      <sz val="11"/>
      <name val="Calibri"/>
    </font>
    <font>
      <b/>
      <sz val="11"/>
      <name val="Calibri"/>
    </font>
    <font>
      <b/>
      <sz val="11"/>
      <color rgb="FF000000"/>
      <name val="Calibri"/>
    </font>
    <font>
      <b/>
      <sz val="11"/>
      <color rgb="FF0000FF"/>
      <name val="Calibri"/>
    </font>
    <font>
      <sz val="11"/>
      <color theme="1"/>
      <name val="Calibri"/>
    </font>
    <font>
      <b/>
      <sz val="11"/>
      <color theme="1"/>
      <name val="Calibri"/>
    </font>
    <font>
      <b/>
      <sz val="14"/>
      <color rgb="FFFFFFFF"/>
      <name val="Calibri"/>
      <family val="2"/>
      <scheme val="minor"/>
    </font>
    <font>
      <sz val="11"/>
      <name val="Calibri"/>
      <family val="2"/>
      <scheme val="minor"/>
    </font>
    <font>
      <b/>
      <sz val="11"/>
      <color rgb="FFFFFFFF"/>
      <name val="Calibri"/>
      <family val="2"/>
      <scheme val="minor"/>
    </font>
    <font>
      <sz val="11"/>
      <color rgb="FF0000FF"/>
      <name val="Calibri"/>
      <family val="2"/>
      <scheme val="minor"/>
    </font>
    <font>
      <sz val="11"/>
      <color theme="10"/>
      <name val="Calibri"/>
      <family val="2"/>
      <scheme val="minor"/>
    </font>
    <font>
      <sz val="11"/>
      <color rgb="FF008000"/>
      <name val="Calibri"/>
      <family val="2"/>
      <scheme val="minor"/>
    </font>
    <font>
      <b/>
      <sz val="20"/>
      <color rgb="FFFFFFFF"/>
      <name val="Calibri"/>
      <family val="2"/>
      <scheme val="minor"/>
    </font>
    <font>
      <b/>
      <sz val="16"/>
      <name val="Calibri"/>
      <family val="2"/>
      <scheme val="minor"/>
    </font>
    <font>
      <b/>
      <sz val="11"/>
      <name val="Calibri"/>
      <family val="2"/>
      <scheme val="minor"/>
    </font>
    <font>
      <b/>
      <sz val="16"/>
      <color rgb="FFFFFFFF"/>
      <name val="Calibri"/>
      <family val="2"/>
    </font>
  </fonts>
  <fills count="21">
    <fill>
      <patternFill patternType="none"/>
    </fill>
    <fill>
      <patternFill patternType="gray125"/>
    </fill>
    <fill>
      <patternFill patternType="solid">
        <fgColor rgb="FF17365D"/>
      </patternFill>
    </fill>
    <fill>
      <patternFill patternType="solid">
        <fgColor rgb="FF2F75B5"/>
      </patternFill>
    </fill>
    <fill>
      <patternFill patternType="solid">
        <fgColor rgb="FFFFF2CC"/>
      </patternFill>
    </fill>
    <fill>
      <patternFill patternType="solid">
        <fgColor rgb="FFD9EAF7"/>
      </patternFill>
    </fill>
    <fill>
      <patternFill patternType="solid">
        <fgColor rgb="FFFFFF00"/>
      </patternFill>
    </fill>
    <fill>
      <patternFill patternType="solid">
        <fgColor theme="5" tint="0.79995117038483843"/>
        <bgColor indexed="65"/>
      </patternFill>
    </fill>
    <fill>
      <patternFill patternType="solid">
        <fgColor theme="3" tint="0.249977111117893"/>
        <bgColor indexed="65"/>
      </patternFill>
    </fill>
    <fill>
      <patternFill patternType="solid">
        <fgColor theme="9" tint="-0.249977111117893"/>
        <bgColor indexed="65"/>
      </patternFill>
    </fill>
    <fill>
      <patternFill patternType="solid">
        <fgColor theme="9" tint="0.79995117038483843"/>
        <bgColor indexed="65"/>
      </patternFill>
    </fill>
    <fill>
      <patternFill patternType="solid">
        <fgColor theme="5" tint="0.59996337778862885"/>
        <bgColor indexed="65"/>
      </patternFill>
    </fill>
    <fill>
      <patternFill patternType="solid">
        <fgColor theme="0"/>
      </patternFill>
    </fill>
    <fill>
      <patternFill patternType="solid">
        <fgColor theme="4"/>
      </patternFill>
    </fill>
    <fill>
      <patternFill patternType="solid">
        <fgColor rgb="FF2F75B5"/>
      </patternFill>
    </fill>
    <fill>
      <patternFill patternType="solid">
        <fgColor rgb="FFE2F0D9"/>
      </patternFill>
    </fill>
    <fill>
      <patternFill patternType="solid">
        <fgColor rgb="FFFFF2CC"/>
      </patternFill>
    </fill>
    <fill>
      <patternFill patternType="solid">
        <fgColor rgb="FF1F4E78"/>
      </patternFill>
    </fill>
    <fill>
      <patternFill patternType="solid">
        <fgColor rgb="FFD9EAF7"/>
      </patternFill>
    </fill>
    <fill>
      <patternFill patternType="solid">
        <fgColor theme="0"/>
      </patternFill>
    </fill>
    <fill>
      <patternFill patternType="solid">
        <fgColor theme="3" tint="0.89996032593768116"/>
        <bgColor indexed="65"/>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93">
    <xf numFmtId="0" fontId="0" fillId="0" borderId="0" xfId="0"/>
    <xf numFmtId="0" fontId="4" fillId="0" borderId="0" xfId="0" applyFont="1"/>
    <xf numFmtId="168" fontId="4" fillId="0" borderId="0" xfId="0" applyNumberFormat="1" applyFont="1"/>
    <xf numFmtId="168" fontId="6" fillId="0" borderId="0" xfId="0" applyNumberFormat="1" applyFont="1"/>
    <xf numFmtId="169" fontId="4" fillId="0" borderId="0" xfId="0" applyNumberFormat="1" applyFont="1"/>
    <xf numFmtId="168" fontId="8" fillId="0" borderId="0" xfId="0" applyNumberFormat="1" applyFont="1"/>
    <xf numFmtId="0" fontId="8" fillId="0" borderId="0" xfId="0" applyFont="1"/>
    <xf numFmtId="0" fontId="4" fillId="0" borderId="0" xfId="0" applyFont="1" applyAlignment="1">
      <alignment wrapText="1"/>
    </xf>
    <xf numFmtId="165" fontId="4" fillId="0" borderId="0" xfId="0" applyNumberFormat="1" applyFont="1"/>
    <xf numFmtId="164" fontId="4" fillId="0" borderId="0" xfId="0" applyNumberFormat="1" applyFont="1"/>
    <xf numFmtId="0" fontId="5" fillId="3" borderId="0" xfId="0" applyFont="1" applyFill="1" applyAlignment="1">
      <alignment horizontal="center" vertical="center" wrapText="1"/>
    </xf>
    <xf numFmtId="164" fontId="7" fillId="4" borderId="0" xfId="0" applyNumberFormat="1" applyFont="1" applyFill="1"/>
    <xf numFmtId="164" fontId="8" fillId="0" borderId="0" xfId="0" applyNumberFormat="1" applyFont="1"/>
    <xf numFmtId="0" fontId="10" fillId="0" borderId="0" xfId="0" applyFont="1"/>
    <xf numFmtId="164" fontId="6" fillId="0" borderId="0" xfId="0" applyNumberFormat="1" applyFont="1"/>
    <xf numFmtId="0" fontId="11" fillId="5" borderId="0" xfId="0" applyFont="1" applyFill="1"/>
    <xf numFmtId="164" fontId="11" fillId="5" borderId="0" xfId="0" applyNumberFormat="1" applyFont="1" applyFill="1"/>
    <xf numFmtId="0" fontId="11" fillId="5" borderId="0" xfId="0" applyFont="1" applyFill="1" applyAlignment="1">
      <alignment wrapText="1"/>
    </xf>
    <xf numFmtId="164" fontId="11" fillId="6" borderId="0" xfId="0" applyNumberFormat="1" applyFont="1" applyFill="1"/>
    <xf numFmtId="0" fontId="4" fillId="7" borderId="0" xfId="0" applyFont="1" applyFill="1"/>
    <xf numFmtId="0" fontId="12" fillId="8" borderId="0" xfId="0" applyFont="1" applyFill="1"/>
    <xf numFmtId="0" fontId="4" fillId="11" borderId="0" xfId="0" applyFont="1" applyFill="1"/>
    <xf numFmtId="0" fontId="4" fillId="10" borderId="0" xfId="0" applyFont="1" applyFill="1"/>
    <xf numFmtId="0" fontId="4" fillId="12" borderId="0" xfId="0" applyFont="1" applyFill="1"/>
    <xf numFmtId="0" fontId="12" fillId="13" borderId="0" xfId="0" applyFont="1" applyFill="1"/>
    <xf numFmtId="0" fontId="5" fillId="12" borderId="0" xfId="0" applyFont="1" applyFill="1" applyAlignment="1">
      <alignment horizontal="center" vertical="center" wrapText="1"/>
    </xf>
    <xf numFmtId="9" fontId="4" fillId="0" borderId="0" xfId="0" applyNumberFormat="1" applyFont="1"/>
    <xf numFmtId="10" fontId="4" fillId="0" borderId="0" xfId="0" applyNumberFormat="1" applyFont="1"/>
    <xf numFmtId="0" fontId="14" fillId="0" borderId="0" xfId="0" applyFont="1"/>
    <xf numFmtId="0" fontId="13" fillId="17" borderId="0" xfId="0" applyFont="1" applyFill="1"/>
    <xf numFmtId="9" fontId="17" fillId="16" borderId="0" xfId="0" applyNumberFormat="1" applyFont="1" applyFill="1"/>
    <xf numFmtId="9" fontId="17" fillId="18" borderId="0" xfId="0" applyNumberFormat="1" applyFont="1" applyFill="1"/>
    <xf numFmtId="0" fontId="5" fillId="2" borderId="0" xfId="0" applyFont="1" applyFill="1" applyAlignment="1">
      <alignment horizontal="center" vertical="center" wrapText="1"/>
    </xf>
    <xf numFmtId="0" fontId="1" fillId="4" borderId="0" xfId="0" applyFont="1" applyFill="1"/>
    <xf numFmtId="169" fontId="7" fillId="4" borderId="0" xfId="0" applyNumberFormat="1" applyFont="1" applyFill="1"/>
    <xf numFmtId="165" fontId="7" fillId="4" borderId="0" xfId="0" applyNumberFormat="1" applyFont="1" applyFill="1"/>
    <xf numFmtId="173" fontId="14" fillId="19" borderId="0" xfId="0" applyNumberFormat="1" applyFont="1" applyFill="1"/>
    <xf numFmtId="173" fontId="15" fillId="19" borderId="0" xfId="0" applyNumberFormat="1" applyFont="1" applyFill="1"/>
    <xf numFmtId="173" fontId="18" fillId="19" borderId="0" xfId="0" applyNumberFormat="1" applyFont="1" applyFill="1"/>
    <xf numFmtId="173" fontId="19" fillId="19" borderId="0" xfId="0" applyNumberFormat="1" applyFont="1" applyFill="1"/>
    <xf numFmtId="164" fontId="4" fillId="6" borderId="0" xfId="0" applyNumberFormat="1" applyFont="1" applyFill="1"/>
    <xf numFmtId="0" fontId="11" fillId="0" borderId="0" xfId="0" applyFont="1"/>
    <xf numFmtId="164" fontId="11" fillId="0" borderId="0" xfId="0" applyNumberFormat="1" applyFont="1"/>
    <xf numFmtId="0" fontId="9" fillId="0" borderId="0" xfId="0" applyFont="1" applyAlignment="1">
      <alignment horizontal="left" vertical="center"/>
    </xf>
    <xf numFmtId="0" fontId="9" fillId="2" borderId="0" xfId="0" applyFont="1" applyFill="1" applyAlignment="1">
      <alignment horizontal="left" vertical="center"/>
    </xf>
    <xf numFmtId="0" fontId="4" fillId="10" borderId="0" xfId="0" applyFont="1" applyFill="1" applyAlignment="1">
      <alignment horizontal="center"/>
    </xf>
    <xf numFmtId="0" fontId="3" fillId="2" borderId="0" xfId="0" applyFont="1" applyFill="1" applyAlignment="1">
      <alignment horizontal="left" vertical="center"/>
    </xf>
    <xf numFmtId="0" fontId="4" fillId="0" borderId="0" xfId="0" applyFont="1"/>
    <xf numFmtId="0" fontId="5" fillId="3" borderId="0" xfId="0" applyFont="1" applyFill="1" applyAlignment="1">
      <alignment horizontal="left" vertical="center"/>
    </xf>
    <xf numFmtId="0" fontId="12" fillId="9" borderId="0" xfId="0" applyFont="1" applyFill="1" applyAlignment="1">
      <alignment horizontal="center"/>
    </xf>
    <xf numFmtId="0" fontId="10" fillId="10" borderId="0" xfId="0" applyFont="1" applyFill="1" applyAlignment="1">
      <alignment horizontal="center"/>
    </xf>
    <xf numFmtId="0" fontId="4" fillId="10" borderId="0" xfId="0" applyFont="1" applyFill="1" applyAlignment="1">
      <alignment horizontal="left" wrapText="1"/>
    </xf>
    <xf numFmtId="0" fontId="13" fillId="14" borderId="0" xfId="0" applyFont="1" applyFill="1"/>
    <xf numFmtId="0" fontId="14" fillId="0" borderId="0" xfId="0" applyFont="1" applyAlignment="1">
      <alignment horizontal="left" wrapText="1"/>
    </xf>
    <xf numFmtId="0" fontId="16" fillId="15" borderId="0" xfId="0" applyFont="1" applyFill="1"/>
    <xf numFmtId="0" fontId="14" fillId="0" borderId="0" xfId="0" applyFont="1" applyAlignment="1">
      <alignment wrapText="1"/>
    </xf>
    <xf numFmtId="0" fontId="20" fillId="2" borderId="0" xfId="0" applyFont="1" applyFill="1" applyAlignment="1">
      <alignment horizontal="center" vertical="center"/>
    </xf>
    <xf numFmtId="0" fontId="21" fillId="0" borderId="0" xfId="0" applyFont="1"/>
    <xf numFmtId="0" fontId="22" fillId="3" borderId="0" xfId="0" applyFont="1" applyFill="1" applyAlignment="1">
      <alignment horizontal="center" vertical="center" wrapText="1"/>
    </xf>
    <xf numFmtId="0" fontId="22" fillId="3" borderId="0" xfId="0" applyFont="1" applyFill="1" applyAlignment="1">
      <alignment horizontal="center" vertical="center" wrapText="1"/>
    </xf>
    <xf numFmtId="0" fontId="21" fillId="0" borderId="0" xfId="0" applyFont="1" applyAlignment="1">
      <alignment wrapText="1"/>
    </xf>
    <xf numFmtId="172" fontId="23" fillId="4" borderId="0" xfId="0" applyNumberFormat="1" applyFont="1" applyFill="1" applyAlignment="1">
      <alignment horizontal="right"/>
    </xf>
    <xf numFmtId="0" fontId="21" fillId="0" borderId="0" xfId="0" applyFont="1" applyAlignment="1">
      <alignment wrapText="1"/>
    </xf>
    <xf numFmtId="164" fontId="23" fillId="4" borderId="0" xfId="0" applyNumberFormat="1" applyFont="1" applyFill="1" applyAlignment="1">
      <alignment horizontal="right"/>
    </xf>
    <xf numFmtId="0" fontId="24" fillId="0" borderId="0" xfId="1" applyFont="1" applyAlignment="1">
      <alignment wrapText="1"/>
    </xf>
    <xf numFmtId="164" fontId="23" fillId="4" borderId="0" xfId="0" applyNumberFormat="1" applyFont="1" applyFill="1" applyAlignment="1">
      <alignment wrapText="1"/>
    </xf>
    <xf numFmtId="0" fontId="24" fillId="0" borderId="0" xfId="1" applyFont="1" applyAlignment="1"/>
    <xf numFmtId="172" fontId="23" fillId="4" borderId="0" xfId="0" applyNumberFormat="1" applyFont="1" applyFill="1" applyAlignment="1">
      <alignment wrapText="1"/>
    </xf>
    <xf numFmtId="0" fontId="20" fillId="2" borderId="0" xfId="0" applyFont="1" applyFill="1" applyAlignment="1">
      <alignment horizontal="left" vertical="center"/>
    </xf>
    <xf numFmtId="0" fontId="23" fillId="4" borderId="0" xfId="0" applyFont="1" applyFill="1"/>
    <xf numFmtId="164" fontId="23" fillId="4" borderId="0" xfId="0" applyNumberFormat="1" applyFont="1" applyFill="1"/>
    <xf numFmtId="164" fontId="25" fillId="0" borderId="0" xfId="0" applyNumberFormat="1" applyFont="1"/>
    <xf numFmtId="4" fontId="21" fillId="0" borderId="0" xfId="0" applyNumberFormat="1" applyFont="1"/>
    <xf numFmtId="0" fontId="26" fillId="2" borderId="0" xfId="0" applyFont="1" applyFill="1" applyAlignment="1">
      <alignment vertical="center"/>
    </xf>
    <xf numFmtId="0" fontId="27" fillId="0" borderId="0" xfId="0" applyFont="1"/>
    <xf numFmtId="0" fontId="21" fillId="20" borderId="4" xfId="0" applyFont="1" applyFill="1" applyBorder="1" applyAlignment="1">
      <alignment wrapText="1"/>
    </xf>
    <xf numFmtId="0" fontId="21" fillId="20" borderId="0" xfId="0" applyFont="1" applyFill="1" applyAlignment="1">
      <alignment wrapText="1"/>
    </xf>
    <xf numFmtId="0" fontId="24" fillId="0" borderId="0" xfId="1" applyFont="1" applyAlignment="1">
      <alignment horizontal="center"/>
    </xf>
    <xf numFmtId="0" fontId="24" fillId="0" borderId="0" xfId="1" applyFont="1" applyAlignment="1"/>
    <xf numFmtId="0" fontId="28" fillId="7" borderId="1" xfId="0" applyFont="1" applyFill="1" applyBorder="1"/>
    <xf numFmtId="0" fontId="28" fillId="7" borderId="2" xfId="0" applyFont="1" applyFill="1" applyBorder="1"/>
    <xf numFmtId="0" fontId="21" fillId="10" borderId="2" xfId="0" applyFont="1" applyFill="1" applyBorder="1"/>
    <xf numFmtId="0" fontId="21" fillId="10" borderId="3" xfId="0" applyFont="1" applyFill="1" applyBorder="1"/>
    <xf numFmtId="0" fontId="28" fillId="7" borderId="4" xfId="0" applyFont="1" applyFill="1" applyBorder="1"/>
    <xf numFmtId="0" fontId="28" fillId="7" borderId="0" xfId="0" applyFont="1" applyFill="1"/>
    <xf numFmtId="0" fontId="21" fillId="10" borderId="0" xfId="0" applyFont="1" applyFill="1"/>
    <xf numFmtId="0" fontId="21" fillId="10" borderId="5" xfId="0" applyFont="1" applyFill="1" applyBorder="1"/>
    <xf numFmtId="0" fontId="28" fillId="7" borderId="6" xfId="0" applyFont="1" applyFill="1" applyBorder="1"/>
    <xf numFmtId="0" fontId="28" fillId="7" borderId="7" xfId="0" applyFont="1" applyFill="1" applyBorder="1"/>
    <xf numFmtId="0" fontId="21" fillId="10" borderId="7" xfId="0" applyFont="1" applyFill="1" applyBorder="1"/>
    <xf numFmtId="0" fontId="21" fillId="10" borderId="8" xfId="0" applyFont="1" applyFill="1" applyBorder="1"/>
    <xf numFmtId="0" fontId="21" fillId="0" borderId="0" xfId="0" applyFont="1" applyAlignment="1">
      <alignment horizontal="center"/>
    </xf>
    <xf numFmtId="0" fontId="29" fillId="2" borderId="0" xfId="0" applyFont="1" applyFill="1" applyAlignment="1">
      <alignment horizontal="left" vertical="center"/>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LCOH Sensitivity Tornado</a:t>
            </a:r>
          </a:p>
        </c:rich>
      </c:tx>
      <c:overlay val="0"/>
    </c:title>
    <c:autoTitleDeleted val="0"/>
    <c:plotArea>
      <c:layout/>
      <c:barChart>
        <c:barDir val="col"/>
        <c:grouping val="clustered"/>
        <c:varyColors val="0"/>
        <c:ser>
          <c:idx val="0"/>
          <c:order val="0"/>
          <c:invertIfNegative val="0"/>
          <c:cat>
            <c:strRef>
              <c:f>'OAT-Sensitivity'!$O$8:$O$19</c:f>
              <c:strCache>
                <c:ptCount val="12"/>
                <c:pt idx="0">
                  <c:v>Discount rate</c:v>
                </c:pt>
                <c:pt idx="1">
                  <c:v>Electrolyzer CAPEX</c:v>
                </c:pt>
                <c:pt idx="2">
                  <c:v>PV Investment CAPEX</c:v>
                </c:pt>
                <c:pt idx="3">
                  <c:v>Electrolyzer lifetime</c:v>
                </c:pt>
                <c:pt idx="4">
                  <c:v>Grid electricity cost</c:v>
                </c:pt>
                <c:pt idx="5">
                  <c:v>PV lifetime</c:v>
                </c:pt>
                <c:pt idx="6">
                  <c:v>Electrolyzer SEC</c:v>
                </c:pt>
                <c:pt idx="7">
                  <c:v>LP storage cost</c:v>
                </c:pt>
                <c:pt idx="8">
                  <c:v>Storage lifetime</c:v>
                </c:pt>
                <c:pt idx="9">
                  <c:v>Compressor CAPEX</c:v>
                </c:pt>
                <c:pt idx="10">
                  <c:v>HP storage cost</c:v>
                </c:pt>
                <c:pt idx="11">
                  <c:v>Compressor SEC</c:v>
                </c:pt>
              </c:strCache>
            </c:strRef>
          </c:cat>
          <c:val>
            <c:numRef>
              <c:f>'OAT-Sensitivity'!$P$8:$P$19</c:f>
              <c:numCache>
                <c:formatCode>\€0.00;[Red]\(\€0.00\);\-</c:formatCode>
                <c:ptCount val="12"/>
                <c:pt idx="0">
                  <c:v>-2.388582419710378</c:v>
                </c:pt>
                <c:pt idx="1">
                  <c:v>-2.0194942087245593</c:v>
                </c:pt>
                <c:pt idx="2">
                  <c:v>-2.0838578257682663</c:v>
                </c:pt>
                <c:pt idx="3">
                  <c:v>1.2820861575131026</c:v>
                </c:pt>
                <c:pt idx="4">
                  <c:v>-0.76416847237269536</c:v>
                </c:pt>
                <c:pt idx="5">
                  <c:v>0.72788505670997949</c:v>
                </c:pt>
                <c:pt idx="6">
                  <c:v>-0.19131739492039657</c:v>
                </c:pt>
                <c:pt idx="7">
                  <c:v>-0.18320815724780104</c:v>
                </c:pt>
                <c:pt idx="8">
                  <c:v>0.14872199427151855</c:v>
                </c:pt>
                <c:pt idx="9">
                  <c:v>0</c:v>
                </c:pt>
                <c:pt idx="10">
                  <c:v>0</c:v>
                </c:pt>
                <c:pt idx="11">
                  <c:v>0</c:v>
                </c:pt>
              </c:numCache>
            </c:numRef>
          </c:val>
          <c:extLst>
            <c:ext xmlns:c16="http://schemas.microsoft.com/office/drawing/2014/chart" uri="{C3380CC4-5D6E-409C-BE32-E72D297353CC}">
              <c16:uniqueId val="{00000000-E016-4758-B143-7F626E63728D}"/>
            </c:ext>
          </c:extLst>
        </c:ser>
        <c:ser>
          <c:idx val="1"/>
          <c:order val="1"/>
          <c:invertIfNegative val="0"/>
          <c:cat>
            <c:strRef>
              <c:f>'OAT-Sensitivity'!$O$8:$O$19</c:f>
              <c:strCache>
                <c:ptCount val="12"/>
                <c:pt idx="0">
                  <c:v>Discount rate</c:v>
                </c:pt>
                <c:pt idx="1">
                  <c:v>Electrolyzer CAPEX</c:v>
                </c:pt>
                <c:pt idx="2">
                  <c:v>PV Investment CAPEX</c:v>
                </c:pt>
                <c:pt idx="3">
                  <c:v>Electrolyzer lifetime</c:v>
                </c:pt>
                <c:pt idx="4">
                  <c:v>Grid electricity cost</c:v>
                </c:pt>
                <c:pt idx="5">
                  <c:v>PV lifetime</c:v>
                </c:pt>
                <c:pt idx="6">
                  <c:v>Electrolyzer SEC</c:v>
                </c:pt>
                <c:pt idx="7">
                  <c:v>LP storage cost</c:v>
                </c:pt>
                <c:pt idx="8">
                  <c:v>Storage lifetime</c:v>
                </c:pt>
                <c:pt idx="9">
                  <c:v>Compressor CAPEX</c:v>
                </c:pt>
                <c:pt idx="10">
                  <c:v>HP storage cost</c:v>
                </c:pt>
                <c:pt idx="11">
                  <c:v>Compressor SEC</c:v>
                </c:pt>
              </c:strCache>
            </c:strRef>
          </c:cat>
          <c:val>
            <c:numRef>
              <c:f>'OAT-Sensitivity'!$Q$8:$Q$19</c:f>
              <c:numCache>
                <c:formatCode>\€0.00;[Red]\(\€0.00\);\-</c:formatCode>
                <c:ptCount val="12"/>
                <c:pt idx="0">
                  <c:v>2.5856847481173411</c:v>
                </c:pt>
                <c:pt idx="1">
                  <c:v>2.0194942087245664</c:v>
                </c:pt>
                <c:pt idx="2">
                  <c:v>2.0838578257682663</c:v>
                </c:pt>
                <c:pt idx="3">
                  <c:v>-0.72788505670997594</c:v>
                </c:pt>
                <c:pt idx="4">
                  <c:v>0.76416847237269891</c:v>
                </c:pt>
                <c:pt idx="5">
                  <c:v>-0.45323456572806364</c:v>
                </c:pt>
                <c:pt idx="6">
                  <c:v>0.19131739492040012</c:v>
                </c:pt>
                <c:pt idx="7">
                  <c:v>0.18320815724780104</c:v>
                </c:pt>
                <c:pt idx="8">
                  <c:v>-8.4434666578356854E-2</c:v>
                </c:pt>
                <c:pt idx="9">
                  <c:v>0</c:v>
                </c:pt>
                <c:pt idx="10">
                  <c:v>0</c:v>
                </c:pt>
                <c:pt idx="11">
                  <c:v>0</c:v>
                </c:pt>
              </c:numCache>
            </c:numRef>
          </c:val>
          <c:extLst>
            <c:ext xmlns:c16="http://schemas.microsoft.com/office/drawing/2014/chart" uri="{C3380CC4-5D6E-409C-BE32-E72D297353CC}">
              <c16:uniqueId val="{00000001-E016-4758-B143-7F626E63728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sz="1400" b="0" i="0" u="none" spc="0">
                <a:solidFill>
                  <a:schemeClr val="tx1">
                    <a:lumMod val="65000"/>
                    <a:lumOff val="35000"/>
                  </a:schemeClr>
                </a:solidFill>
                <a:latin typeface="+mn-lt"/>
                <a:ea typeface="+mn-lt"/>
                <a:cs typeface="+mn-lt"/>
              </a:rPr>
              <a:t>Electrolyzer SEC vs LCOH</a:t>
            </a:r>
          </a:p>
        </c:rich>
      </c:tx>
      <c:overlay val="0"/>
    </c:title>
    <c:autoTitleDeleted val="0"/>
    <c:plotArea>
      <c:layout/>
      <c:scatterChart>
        <c:scatterStyle val="smoothMarker"/>
        <c:varyColors val="1"/>
        <c:ser>
          <c:idx val="0"/>
          <c:order val="0"/>
          <c:spPr>
            <a:ln w="19050">
              <a:solidFill>
                <a:schemeClr val="accent1"/>
              </a:solidFill>
            </a:ln>
          </c:spPr>
          <c:marker>
            <c:symbol val="circle"/>
            <c:size val="5"/>
            <c:spPr>
              <a:solidFill>
                <a:schemeClr val="accent1"/>
              </a:solidFill>
              <a:ln w="9525">
                <a:solidFill>
                  <a:schemeClr val="accent1"/>
                </a:solidFill>
              </a:ln>
            </c:spPr>
          </c:marker>
          <c:xVal>
            <c:numRef>
              <c:f>'OAT Scenario Curves'!$K$8:$K$14</c:f>
              <c:numCache>
                <c:formatCode>General</c:formatCode>
                <c:ptCount val="7"/>
                <c:pt idx="0">
                  <c:v>50</c:v>
                </c:pt>
                <c:pt idx="1">
                  <c:v>52</c:v>
                </c:pt>
                <c:pt idx="2">
                  <c:v>54</c:v>
                </c:pt>
                <c:pt idx="3">
                  <c:v>55.52</c:v>
                </c:pt>
                <c:pt idx="4">
                  <c:v>57</c:v>
                </c:pt>
                <c:pt idx="5">
                  <c:v>59</c:v>
                </c:pt>
                <c:pt idx="6">
                  <c:v>61</c:v>
                </c:pt>
              </c:numCache>
            </c:numRef>
          </c:xVal>
          <c:yVal>
            <c:numRef>
              <c:f>'OAT Scenario Curves'!$L$8:$L$14</c:f>
              <c:numCache>
                <c:formatCode>\€0.00;[Red]\(\€0.00\);\-</c:formatCode>
                <c:ptCount val="7"/>
                <c:pt idx="0">
                  <c:v>20.767682879627088</c:v>
                </c:pt>
                <c:pt idx="1">
                  <c:v>20.889925632865651</c:v>
                </c:pt>
                <c:pt idx="2">
                  <c:v>21.012168386104211</c:v>
                </c:pt>
                <c:pt idx="3">
                  <c:v>21.105072878565519</c:v>
                </c:pt>
                <c:pt idx="4">
                  <c:v>21.195532515962057</c:v>
                </c:pt>
                <c:pt idx="5">
                  <c:v>21.31777526920062</c:v>
                </c:pt>
                <c:pt idx="6">
                  <c:v>21.44001802243918</c:v>
                </c:pt>
              </c:numCache>
            </c:numRef>
          </c:yVal>
          <c:smooth val="1"/>
          <c:extLst>
            <c:ext xmlns:c16="http://schemas.microsoft.com/office/drawing/2014/chart" uri="{C3380CC4-5D6E-409C-BE32-E72D297353CC}">
              <c16:uniqueId val="{00000000-0544-4C73-9855-B33D24419291}"/>
            </c:ext>
          </c:extLst>
        </c:ser>
        <c:dLbls>
          <c:showLegendKey val="0"/>
          <c:showVal val="0"/>
          <c:showCatName val="0"/>
          <c:showSerName val="0"/>
          <c:showPercent val="0"/>
          <c:showBubbleSize val="0"/>
        </c:dLbls>
        <c:axId val="1644288384"/>
        <c:axId val="1644286464"/>
      </c:scatterChart>
      <c:valAx>
        <c:axId val="1644286464"/>
        <c:scaling>
          <c:orientation val="minMax"/>
        </c:scaling>
        <c:delete val="0"/>
        <c:axPos val="l"/>
        <c:majorGridlines>
          <c:spPr>
            <a:ln w="9525" cmpd="sng">
              <a:solidFill>
                <a:schemeClr val="tx1">
                  <a:lumMod val="15000"/>
                  <a:lumOff val="85000"/>
                </a:schemeClr>
              </a:solidFill>
            </a:ln>
          </c:spPr>
        </c:majorGridlines>
        <c:numFmt formatCode="\€0.00;[Red]\(\€0.00\);\-" sourceLinked="1"/>
        <c:majorTickMark val="none"/>
        <c:minorTickMark val="none"/>
        <c:tickLblPos val="nextTo"/>
        <c:spPr>
          <a:ln w="9525" cmpd="sng">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644288384"/>
        <c:crosses val="autoZero"/>
        <c:crossBetween val="midCat"/>
      </c:valAx>
      <c:valAx>
        <c:axId val="1644288384"/>
        <c:scaling>
          <c:orientation val="minMax"/>
          <c:max val="64"/>
          <c:min val="48"/>
        </c:scaling>
        <c:delete val="0"/>
        <c:axPos val="b"/>
        <c:majorGridlines>
          <c:spPr>
            <a:ln w="9525" cmpd="sng">
              <a:solidFill>
                <a:schemeClr val="tx1">
                  <a:lumMod val="15000"/>
                  <a:lumOff val="85000"/>
                </a:schemeClr>
              </a:solidFill>
            </a:ln>
          </c:spPr>
        </c:majorGridlines>
        <c:numFmt formatCode="General" sourceLinked="1"/>
        <c:majorTickMark val="none"/>
        <c:minorTickMark val="none"/>
        <c:tickLblPos val="nextTo"/>
        <c:spPr>
          <a:ln w="9525" cmpd="sng">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644286464"/>
        <c:crosses val="autoZero"/>
        <c:crossBetween val="midCat"/>
      </c:valAx>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sz="1400" b="0" i="0" u="none" spc="0">
                <a:solidFill>
                  <a:schemeClr val="tx1">
                    <a:lumMod val="65000"/>
                    <a:lumOff val="35000"/>
                  </a:schemeClr>
                </a:solidFill>
                <a:latin typeface="+mn-lt"/>
                <a:ea typeface="+mn-lt"/>
                <a:cs typeface="+mn-lt"/>
              </a:rPr>
              <a:t>Grid Cost vs LCOH</a:t>
            </a:r>
          </a:p>
        </c:rich>
      </c:tx>
      <c:overlay val="0"/>
    </c:title>
    <c:autoTitleDeleted val="0"/>
    <c:plotArea>
      <c:layout/>
      <c:scatterChart>
        <c:scatterStyle val="smoothMarker"/>
        <c:varyColors val="1"/>
        <c:ser>
          <c:idx val="0"/>
          <c:order val="0"/>
          <c:spPr>
            <a:ln w="19050">
              <a:solidFill>
                <a:schemeClr val="accent1"/>
              </a:solidFill>
            </a:ln>
          </c:spPr>
          <c:marker>
            <c:symbol val="circle"/>
            <c:size val="5"/>
            <c:spPr>
              <a:solidFill>
                <a:schemeClr val="accent1"/>
              </a:solidFill>
              <a:ln w="9525">
                <a:solidFill>
                  <a:schemeClr val="accent1"/>
                </a:solidFill>
              </a:ln>
            </c:spPr>
          </c:marker>
          <c:xVal>
            <c:numRef>
              <c:f>'OAT Scenario Curves'!$U$8:$U$18</c:f>
              <c:numCache>
                <c:formatCode>General</c:formatCode>
                <c:ptCount val="11"/>
                <c:pt idx="0">
                  <c:v>0.5</c:v>
                </c:pt>
                <c:pt idx="1">
                  <c:v>0.6</c:v>
                </c:pt>
                <c:pt idx="2">
                  <c:v>0.7</c:v>
                </c:pt>
                <c:pt idx="3">
                  <c:v>0.79999999999999993</c:v>
                </c:pt>
                <c:pt idx="4">
                  <c:v>0.89999999999999991</c:v>
                </c:pt>
                <c:pt idx="5">
                  <c:v>0.99999999999999989</c:v>
                </c:pt>
                <c:pt idx="6">
                  <c:v>1.0999999999999999</c:v>
                </c:pt>
                <c:pt idx="7">
                  <c:v>1.2</c:v>
                </c:pt>
                <c:pt idx="8">
                  <c:v>1.3</c:v>
                </c:pt>
                <c:pt idx="9">
                  <c:v>1.4000000000000001</c:v>
                </c:pt>
                <c:pt idx="10">
                  <c:v>1.5000000000000002</c:v>
                </c:pt>
              </c:numCache>
            </c:numRef>
          </c:xVal>
          <c:yVal>
            <c:numRef>
              <c:f>'OAT Scenario Curves'!$V$8:$V$18</c:f>
              <c:numCache>
                <c:formatCode>\€0.00;[Red]\(\€0.00\);\-</c:formatCode>
                <c:ptCount val="11"/>
                <c:pt idx="0">
                  <c:v>19.194651697633777</c:v>
                </c:pt>
                <c:pt idx="1">
                  <c:v>19.576735933820125</c:v>
                </c:pt>
                <c:pt idx="2">
                  <c:v>19.958820170006472</c:v>
                </c:pt>
                <c:pt idx="3">
                  <c:v>20.34090440619282</c:v>
                </c:pt>
                <c:pt idx="4">
                  <c:v>20.722988642379171</c:v>
                </c:pt>
                <c:pt idx="5">
                  <c:v>21.105072878565519</c:v>
                </c:pt>
                <c:pt idx="6">
                  <c:v>21.487157114751867</c:v>
                </c:pt>
                <c:pt idx="7">
                  <c:v>21.869241350938218</c:v>
                </c:pt>
                <c:pt idx="8">
                  <c:v>22.251325587124569</c:v>
                </c:pt>
                <c:pt idx="9">
                  <c:v>22.633409823310913</c:v>
                </c:pt>
                <c:pt idx="10">
                  <c:v>23.015494059497264</c:v>
                </c:pt>
              </c:numCache>
            </c:numRef>
          </c:yVal>
          <c:smooth val="1"/>
          <c:extLst>
            <c:ext xmlns:c16="http://schemas.microsoft.com/office/drawing/2014/chart" uri="{C3380CC4-5D6E-409C-BE32-E72D297353CC}">
              <c16:uniqueId val="{00000000-6915-482E-8774-49E56FB9D767}"/>
            </c:ext>
          </c:extLst>
        </c:ser>
        <c:dLbls>
          <c:showLegendKey val="0"/>
          <c:showVal val="0"/>
          <c:showCatName val="0"/>
          <c:showSerName val="0"/>
          <c:showPercent val="0"/>
          <c:showBubbleSize val="0"/>
        </c:dLbls>
        <c:axId val="1168555504"/>
        <c:axId val="1168559344"/>
      </c:scatterChart>
      <c:valAx>
        <c:axId val="1168559344"/>
        <c:scaling>
          <c:orientation val="minMax"/>
        </c:scaling>
        <c:delete val="0"/>
        <c:axPos val="l"/>
        <c:majorGridlines>
          <c:spPr>
            <a:ln w="9525" cmpd="sng">
              <a:solidFill>
                <a:schemeClr val="tx1">
                  <a:lumMod val="15000"/>
                  <a:lumOff val="85000"/>
                </a:schemeClr>
              </a:solidFill>
            </a:ln>
          </c:spPr>
        </c:majorGridlines>
        <c:numFmt formatCode="\€0.00;[Red]\(\€0.00\);\-" sourceLinked="1"/>
        <c:majorTickMark val="none"/>
        <c:minorTickMark val="none"/>
        <c:tickLblPos val="nextTo"/>
        <c:spPr>
          <a:ln w="9525" cmpd="sng">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168555504"/>
        <c:crosses val="autoZero"/>
        <c:crossBetween val="midCat"/>
      </c:valAx>
      <c:valAx>
        <c:axId val="1168555504"/>
        <c:scaling>
          <c:orientation val="minMax"/>
        </c:scaling>
        <c:delete val="0"/>
        <c:axPos val="b"/>
        <c:majorGridlines>
          <c:spPr>
            <a:ln w="9525" cmpd="sng">
              <a:solidFill>
                <a:schemeClr val="tx1">
                  <a:lumMod val="15000"/>
                  <a:lumOff val="85000"/>
                </a:schemeClr>
              </a:solidFill>
            </a:ln>
          </c:spPr>
        </c:majorGridlines>
        <c:numFmt formatCode="General" sourceLinked="1"/>
        <c:majorTickMark val="none"/>
        <c:minorTickMark val="none"/>
        <c:tickLblPos val="nextTo"/>
        <c:spPr>
          <a:ln w="9525" cmpd="sng">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168559344"/>
        <c:crosses val="autoZero"/>
        <c:crossBetween val="midCat"/>
      </c:valAx>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sz="1400" b="0" i="0" u="none" spc="0">
                <a:solidFill>
                  <a:schemeClr val="tx1">
                    <a:lumMod val="65000"/>
                    <a:lumOff val="35000"/>
                  </a:schemeClr>
                </a:solidFill>
                <a:latin typeface="+mn-lt"/>
                <a:ea typeface="+mn-lt"/>
                <a:cs typeface="+mn-lt"/>
              </a:rPr>
              <a:t>Electrolyzer CAPEX vs LCOH</a:t>
            </a:r>
          </a:p>
        </c:rich>
      </c:tx>
      <c:overlay val="0"/>
    </c:title>
    <c:autoTitleDeleted val="0"/>
    <c:plotArea>
      <c:layout/>
      <c:scatterChart>
        <c:scatterStyle val="smoothMarker"/>
        <c:varyColors val="1"/>
        <c:ser>
          <c:idx val="0"/>
          <c:order val="0"/>
          <c:spPr>
            <a:ln w="19050">
              <a:solidFill>
                <a:schemeClr val="accent1"/>
              </a:solidFill>
            </a:ln>
          </c:spPr>
          <c:marker>
            <c:symbol val="circle"/>
            <c:size val="5"/>
            <c:spPr>
              <a:solidFill>
                <a:schemeClr val="accent1"/>
              </a:solidFill>
              <a:ln w="9525">
                <a:solidFill>
                  <a:schemeClr val="accent1"/>
                </a:solidFill>
              </a:ln>
            </c:spPr>
          </c:marker>
          <c:xVal>
            <c:numRef>
              <c:f>'OAT Scenario Curves'!$A$8:$A$18</c:f>
              <c:numCache>
                <c:formatCode>General</c:formatCode>
                <c:ptCount val="11"/>
                <c:pt idx="0">
                  <c:v>0.5</c:v>
                </c:pt>
                <c:pt idx="1">
                  <c:v>0.6</c:v>
                </c:pt>
                <c:pt idx="2">
                  <c:v>0.7</c:v>
                </c:pt>
                <c:pt idx="3">
                  <c:v>0.79999999999999993</c:v>
                </c:pt>
                <c:pt idx="4">
                  <c:v>0.89999999999999991</c:v>
                </c:pt>
                <c:pt idx="5">
                  <c:v>0.99999999999999989</c:v>
                </c:pt>
                <c:pt idx="6">
                  <c:v>1.0999999999999999</c:v>
                </c:pt>
                <c:pt idx="7">
                  <c:v>1.2</c:v>
                </c:pt>
                <c:pt idx="8">
                  <c:v>1.3</c:v>
                </c:pt>
                <c:pt idx="9">
                  <c:v>1.4000000000000001</c:v>
                </c:pt>
                <c:pt idx="10">
                  <c:v>1.5000000000000002</c:v>
                </c:pt>
              </c:numCache>
            </c:numRef>
          </c:xVal>
          <c:yVal>
            <c:numRef>
              <c:f>'OAT Scenario Curves'!$B$8:$B$18</c:f>
              <c:numCache>
                <c:formatCode>\€0.00;[Red]\(\€0.00\);\-</c:formatCode>
                <c:ptCount val="11"/>
                <c:pt idx="0">
                  <c:v>17.562905070730281</c:v>
                </c:pt>
                <c:pt idx="1">
                  <c:v>18.271338632297326</c:v>
                </c:pt>
                <c:pt idx="2">
                  <c:v>18.979772193864374</c:v>
                </c:pt>
                <c:pt idx="3">
                  <c:v>19.688205755431422</c:v>
                </c:pt>
                <c:pt idx="4">
                  <c:v>20.396639316998471</c:v>
                </c:pt>
                <c:pt idx="5">
                  <c:v>21.105072878565519</c:v>
                </c:pt>
                <c:pt idx="6">
                  <c:v>21.813506440132567</c:v>
                </c:pt>
                <c:pt idx="7">
                  <c:v>22.521940001699615</c:v>
                </c:pt>
                <c:pt idx="8">
                  <c:v>23.230373563266664</c:v>
                </c:pt>
                <c:pt idx="9">
                  <c:v>23.938807124833716</c:v>
                </c:pt>
                <c:pt idx="10">
                  <c:v>24.64724068640076</c:v>
                </c:pt>
              </c:numCache>
            </c:numRef>
          </c:yVal>
          <c:smooth val="1"/>
          <c:extLst>
            <c:ext xmlns:c16="http://schemas.microsoft.com/office/drawing/2014/chart" uri="{C3380CC4-5D6E-409C-BE32-E72D297353CC}">
              <c16:uniqueId val="{00000000-4743-4663-9117-1A2798626134}"/>
            </c:ext>
          </c:extLst>
        </c:ser>
        <c:dLbls>
          <c:showLegendKey val="0"/>
          <c:showVal val="0"/>
          <c:showCatName val="0"/>
          <c:showSerName val="0"/>
          <c:showPercent val="0"/>
          <c:showBubbleSize val="0"/>
        </c:dLbls>
        <c:axId val="1168538224"/>
        <c:axId val="1168555504"/>
      </c:scatterChart>
      <c:valAx>
        <c:axId val="1168555504"/>
        <c:scaling>
          <c:orientation val="minMax"/>
          <c:min val="15"/>
        </c:scaling>
        <c:delete val="0"/>
        <c:axPos val="l"/>
        <c:majorGridlines>
          <c:spPr>
            <a:ln w="9525" cmpd="sng">
              <a:solidFill>
                <a:schemeClr val="tx1">
                  <a:lumMod val="15000"/>
                  <a:lumOff val="85000"/>
                </a:schemeClr>
              </a:solidFill>
            </a:ln>
          </c:spPr>
        </c:majorGridlines>
        <c:numFmt formatCode="\€0.00;[Red]\(\€0.00\);\-" sourceLinked="1"/>
        <c:majorTickMark val="none"/>
        <c:minorTickMark val="none"/>
        <c:tickLblPos val="nextTo"/>
        <c:spPr>
          <a:ln w="9525" cmpd="sng">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168538224"/>
        <c:crosses val="autoZero"/>
        <c:crossBetween val="midCat"/>
      </c:valAx>
      <c:valAx>
        <c:axId val="1168538224"/>
        <c:scaling>
          <c:orientation val="minMax"/>
          <c:max val="1.6"/>
          <c:min val="0.4"/>
        </c:scaling>
        <c:delete val="0"/>
        <c:axPos val="b"/>
        <c:majorGridlines>
          <c:spPr>
            <a:ln w="9525" cmpd="sng">
              <a:solidFill>
                <a:schemeClr val="tx1">
                  <a:lumMod val="15000"/>
                  <a:lumOff val="85000"/>
                </a:schemeClr>
              </a:solidFill>
            </a:ln>
          </c:spPr>
        </c:majorGridlines>
        <c:numFmt formatCode="General" sourceLinked="1"/>
        <c:majorTickMark val="none"/>
        <c:minorTickMark val="none"/>
        <c:tickLblPos val="nextTo"/>
        <c:spPr>
          <a:ln w="9525" cmpd="sng">
            <a:solidFill>
              <a:schemeClr val="tx1">
                <a:lumMod val="25000"/>
                <a:lumOff val="75000"/>
              </a:schemeClr>
            </a:solidFill>
          </a:ln>
        </c:spPr>
        <c:txPr>
          <a:bodyPr rot="-60000000" vert="horz" anchor="ctr" anchorCtr="1"/>
          <a:lstStyle/>
          <a:p>
            <a:pPr>
              <a:defRPr sz="900" b="0" i="0" u="none">
                <a:solidFill>
                  <a:schemeClr val="tx1">
                    <a:lumMod val="65000"/>
                    <a:lumOff val="35000"/>
                  </a:schemeClr>
                </a:solidFill>
                <a:latin typeface="+mn-lt"/>
                <a:ea typeface="+mn-lt"/>
                <a:cs typeface="+mn-lt"/>
              </a:defRPr>
            </a:pPr>
            <a:endParaRPr lang="en-US"/>
          </a:p>
        </c:txPr>
        <c:crossAx val="1168555504"/>
        <c:crosses val="autoZero"/>
        <c:crossBetween val="midCat"/>
      </c:valAx>
      <c:spPr>
        <a:noFill/>
        <a:ln>
          <a:noFill/>
        </a:ln>
      </c:spPr>
    </c:plotArea>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1"/>
        <c:ser>
          <c:idx val="0"/>
          <c:order val="0"/>
          <c:tx>
            <c:strRef>
              <c:f>'OAT Scenario Curves'!$H$42</c:f>
              <c:strCache>
                <c:ptCount val="1"/>
                <c:pt idx="0">
                  <c:v>PV CAPEX</c:v>
                </c:pt>
              </c:strCache>
            </c:strRef>
          </c:tx>
          <c:spPr>
            <a:ln w="19050">
              <a:solidFill>
                <a:srgbClr val="411AA2"/>
              </a:solidFill>
            </a:ln>
          </c:spPr>
          <c:marker>
            <c:symbol val="square"/>
            <c:size val="5"/>
            <c:spPr>
              <a:solidFill>
                <a:srgbClr val="0070C0"/>
              </a:solidFill>
              <a:ln w="9525">
                <a:solidFill>
                  <a:srgbClr val="0070C0"/>
                </a:solidFill>
              </a:ln>
            </c:spPr>
          </c:marker>
          <c:xVal>
            <c:numRef>
              <c:f>'OAT Scenario Curves'!$G$43:$G$53</c:f>
              <c:numCache>
                <c:formatCode>General</c:formatCode>
                <c:ptCount val="11"/>
                <c:pt idx="0">
                  <c:v>0.5</c:v>
                </c:pt>
                <c:pt idx="1">
                  <c:v>0.6</c:v>
                </c:pt>
                <c:pt idx="2">
                  <c:v>0.7</c:v>
                </c:pt>
                <c:pt idx="3">
                  <c:v>0.79999999999999993</c:v>
                </c:pt>
                <c:pt idx="4">
                  <c:v>0.89999999999999991</c:v>
                </c:pt>
                <c:pt idx="5">
                  <c:v>0.99999999999999989</c:v>
                </c:pt>
                <c:pt idx="6">
                  <c:v>1.0999999999999999</c:v>
                </c:pt>
                <c:pt idx="7">
                  <c:v>1.2</c:v>
                </c:pt>
                <c:pt idx="8">
                  <c:v>1.3</c:v>
                </c:pt>
                <c:pt idx="9">
                  <c:v>1.4000000000000001</c:v>
                </c:pt>
                <c:pt idx="10">
                  <c:v>1.5000000000000002</c:v>
                </c:pt>
              </c:numCache>
            </c:numRef>
          </c:xVal>
          <c:yVal>
            <c:numRef>
              <c:f>'OAT Scenario Curves'!$H$43:$H$53</c:f>
              <c:numCache>
                <c:formatCode>\€0.00;[Red]\(\€0.00\);\-</c:formatCode>
                <c:ptCount val="11"/>
                <c:pt idx="0">
                  <c:v>17.926847599085267</c:v>
                </c:pt>
                <c:pt idx="1">
                  <c:v>18.562492654981316</c:v>
                </c:pt>
                <c:pt idx="2">
                  <c:v>19.198137710877369</c:v>
                </c:pt>
                <c:pt idx="3">
                  <c:v>19.833782766773417</c:v>
                </c:pt>
                <c:pt idx="4">
                  <c:v>20.46942782266947</c:v>
                </c:pt>
                <c:pt idx="5">
                  <c:v>21.105072878565519</c:v>
                </c:pt>
                <c:pt idx="6">
                  <c:v>21.740717934461571</c:v>
                </c:pt>
                <c:pt idx="7">
                  <c:v>22.37636299035762</c:v>
                </c:pt>
                <c:pt idx="8">
                  <c:v>23.012008046253673</c:v>
                </c:pt>
                <c:pt idx="9">
                  <c:v>23.647653102149722</c:v>
                </c:pt>
                <c:pt idx="10">
                  <c:v>24.283298158045774</c:v>
                </c:pt>
              </c:numCache>
            </c:numRef>
          </c:yVal>
          <c:smooth val="1"/>
          <c:extLst>
            <c:ext xmlns:c16="http://schemas.microsoft.com/office/drawing/2014/chart" uri="{C3380CC4-5D6E-409C-BE32-E72D297353CC}">
              <c16:uniqueId val="{00000000-5006-4BF1-8AED-774149C7EC9E}"/>
            </c:ext>
          </c:extLst>
        </c:ser>
        <c:ser>
          <c:idx val="1"/>
          <c:order val="1"/>
          <c:tx>
            <c:strRef>
              <c:f>'OAT Scenario Curves'!$I$42</c:f>
              <c:strCache>
                <c:ptCount val="1"/>
                <c:pt idx="0">
                  <c:v>Electrolyzer CAPEX</c:v>
                </c:pt>
              </c:strCache>
            </c:strRef>
          </c:tx>
          <c:spPr>
            <a:ln w="19050">
              <a:solidFill>
                <a:srgbClr val="00B050"/>
              </a:solidFill>
            </a:ln>
          </c:spPr>
          <c:marker>
            <c:symbol val="diamond"/>
            <c:size val="5"/>
            <c:spPr>
              <a:solidFill>
                <a:srgbClr val="00B050"/>
              </a:solidFill>
              <a:ln w="9525">
                <a:solidFill>
                  <a:srgbClr val="00B050"/>
                </a:solidFill>
              </a:ln>
            </c:spPr>
          </c:marker>
          <c:xVal>
            <c:numRef>
              <c:f>'OAT Scenario Curves'!$G$43:$G$53</c:f>
              <c:numCache>
                <c:formatCode>General</c:formatCode>
                <c:ptCount val="11"/>
                <c:pt idx="0">
                  <c:v>0.5</c:v>
                </c:pt>
                <c:pt idx="1">
                  <c:v>0.6</c:v>
                </c:pt>
                <c:pt idx="2">
                  <c:v>0.7</c:v>
                </c:pt>
                <c:pt idx="3">
                  <c:v>0.79999999999999993</c:v>
                </c:pt>
                <c:pt idx="4">
                  <c:v>0.89999999999999991</c:v>
                </c:pt>
                <c:pt idx="5">
                  <c:v>0.99999999999999989</c:v>
                </c:pt>
                <c:pt idx="6">
                  <c:v>1.0999999999999999</c:v>
                </c:pt>
                <c:pt idx="7">
                  <c:v>1.2</c:v>
                </c:pt>
                <c:pt idx="8">
                  <c:v>1.3</c:v>
                </c:pt>
                <c:pt idx="9">
                  <c:v>1.4000000000000001</c:v>
                </c:pt>
                <c:pt idx="10">
                  <c:v>1.5000000000000002</c:v>
                </c:pt>
              </c:numCache>
            </c:numRef>
          </c:xVal>
          <c:yVal>
            <c:numRef>
              <c:f>'OAT Scenario Curves'!$I$43:$I$53</c:f>
              <c:numCache>
                <c:formatCode>\€0.00;[Red]\(\€0.00\);\-</c:formatCode>
                <c:ptCount val="11"/>
                <c:pt idx="0">
                  <c:v>17.562905070730281</c:v>
                </c:pt>
                <c:pt idx="1">
                  <c:v>18.271338632297326</c:v>
                </c:pt>
                <c:pt idx="2">
                  <c:v>18.979772193864374</c:v>
                </c:pt>
                <c:pt idx="3">
                  <c:v>19.688205755431422</c:v>
                </c:pt>
                <c:pt idx="4">
                  <c:v>20.396639316998471</c:v>
                </c:pt>
                <c:pt idx="5">
                  <c:v>21.105072878565519</c:v>
                </c:pt>
                <c:pt idx="6">
                  <c:v>21.813506440132567</c:v>
                </c:pt>
                <c:pt idx="7">
                  <c:v>22.521940001699615</c:v>
                </c:pt>
                <c:pt idx="8">
                  <c:v>23.230373563266664</c:v>
                </c:pt>
                <c:pt idx="9">
                  <c:v>23.938807124833716</c:v>
                </c:pt>
                <c:pt idx="10">
                  <c:v>24.64724068640076</c:v>
                </c:pt>
              </c:numCache>
            </c:numRef>
          </c:yVal>
          <c:smooth val="1"/>
          <c:extLst>
            <c:ext xmlns:c16="http://schemas.microsoft.com/office/drawing/2014/chart" uri="{C3380CC4-5D6E-409C-BE32-E72D297353CC}">
              <c16:uniqueId val="{00000001-5006-4BF1-8AED-774149C7EC9E}"/>
            </c:ext>
          </c:extLst>
        </c:ser>
        <c:ser>
          <c:idx val="2"/>
          <c:order val="2"/>
          <c:tx>
            <c:strRef>
              <c:f>'OAT Scenario Curves'!$J$42</c:f>
              <c:strCache>
                <c:ptCount val="1"/>
                <c:pt idx="0">
                  <c:v>Grid Cost</c:v>
                </c:pt>
              </c:strCache>
            </c:strRef>
          </c:tx>
          <c:spPr>
            <a:ln w="19050">
              <a:solidFill>
                <a:srgbClr val="FF0000"/>
              </a:solidFill>
            </a:ln>
          </c:spPr>
          <c:marker>
            <c:symbol val="triangle"/>
            <c:size val="5"/>
            <c:spPr>
              <a:solidFill>
                <a:srgbClr val="FF0000"/>
              </a:solidFill>
              <a:ln w="9525">
                <a:solidFill>
                  <a:srgbClr val="FF0000"/>
                </a:solidFill>
              </a:ln>
            </c:spPr>
          </c:marker>
          <c:xVal>
            <c:numRef>
              <c:f>'OAT Scenario Curves'!$G$43:$G$53</c:f>
              <c:numCache>
                <c:formatCode>General</c:formatCode>
                <c:ptCount val="11"/>
                <c:pt idx="0">
                  <c:v>0.5</c:v>
                </c:pt>
                <c:pt idx="1">
                  <c:v>0.6</c:v>
                </c:pt>
                <c:pt idx="2">
                  <c:v>0.7</c:v>
                </c:pt>
                <c:pt idx="3">
                  <c:v>0.79999999999999993</c:v>
                </c:pt>
                <c:pt idx="4">
                  <c:v>0.89999999999999991</c:v>
                </c:pt>
                <c:pt idx="5">
                  <c:v>0.99999999999999989</c:v>
                </c:pt>
                <c:pt idx="6">
                  <c:v>1.0999999999999999</c:v>
                </c:pt>
                <c:pt idx="7">
                  <c:v>1.2</c:v>
                </c:pt>
                <c:pt idx="8">
                  <c:v>1.3</c:v>
                </c:pt>
                <c:pt idx="9">
                  <c:v>1.4000000000000001</c:v>
                </c:pt>
                <c:pt idx="10">
                  <c:v>1.5000000000000002</c:v>
                </c:pt>
              </c:numCache>
            </c:numRef>
          </c:xVal>
          <c:yVal>
            <c:numRef>
              <c:f>'OAT Scenario Curves'!$J$43:$J$53</c:f>
              <c:numCache>
                <c:formatCode>\€0.00;[Red]\(\€0.00\);\-</c:formatCode>
                <c:ptCount val="11"/>
                <c:pt idx="0">
                  <c:v>19.194651697633777</c:v>
                </c:pt>
                <c:pt idx="1">
                  <c:v>19.576735933820125</c:v>
                </c:pt>
                <c:pt idx="2">
                  <c:v>19.958820170006472</c:v>
                </c:pt>
                <c:pt idx="3">
                  <c:v>20.34090440619282</c:v>
                </c:pt>
                <c:pt idx="4">
                  <c:v>20.722988642379171</c:v>
                </c:pt>
                <c:pt idx="5">
                  <c:v>21.105072878565519</c:v>
                </c:pt>
                <c:pt idx="6">
                  <c:v>21.487157114751867</c:v>
                </c:pt>
                <c:pt idx="7">
                  <c:v>21.869241350938218</c:v>
                </c:pt>
                <c:pt idx="8">
                  <c:v>22.251325587124569</c:v>
                </c:pt>
                <c:pt idx="9">
                  <c:v>22.633409823310913</c:v>
                </c:pt>
                <c:pt idx="10">
                  <c:v>23.015494059497264</c:v>
                </c:pt>
              </c:numCache>
            </c:numRef>
          </c:yVal>
          <c:smooth val="1"/>
          <c:extLst>
            <c:ext xmlns:c16="http://schemas.microsoft.com/office/drawing/2014/chart" uri="{C3380CC4-5D6E-409C-BE32-E72D297353CC}">
              <c16:uniqueId val="{00000002-5006-4BF1-8AED-774149C7EC9E}"/>
            </c:ext>
          </c:extLst>
        </c:ser>
        <c:ser>
          <c:idx val="3"/>
          <c:order val="3"/>
          <c:tx>
            <c:strRef>
              <c:f>'OAT Scenario Curves'!$K$42</c:f>
              <c:strCache>
                <c:ptCount val="1"/>
                <c:pt idx="0">
                  <c:v>Discount Rate</c:v>
                </c:pt>
              </c:strCache>
            </c:strRef>
          </c:tx>
          <c:spPr>
            <a:ln w="19050">
              <a:solidFill>
                <a:schemeClr val="accent4"/>
              </a:solidFill>
            </a:ln>
          </c:spPr>
          <c:marker>
            <c:symbol val="circle"/>
            <c:size val="5"/>
            <c:spPr>
              <a:solidFill>
                <a:schemeClr val="accent4"/>
              </a:solidFill>
              <a:ln w="9525">
                <a:solidFill>
                  <a:schemeClr val="accent4"/>
                </a:solidFill>
              </a:ln>
            </c:spPr>
          </c:marker>
          <c:xVal>
            <c:numRef>
              <c:f>'OAT Scenario Curves'!$G$43:$G$53</c:f>
              <c:numCache>
                <c:formatCode>General</c:formatCode>
                <c:ptCount val="11"/>
                <c:pt idx="0">
                  <c:v>0.5</c:v>
                </c:pt>
                <c:pt idx="1">
                  <c:v>0.6</c:v>
                </c:pt>
                <c:pt idx="2">
                  <c:v>0.7</c:v>
                </c:pt>
                <c:pt idx="3">
                  <c:v>0.79999999999999993</c:v>
                </c:pt>
                <c:pt idx="4">
                  <c:v>0.89999999999999991</c:v>
                </c:pt>
                <c:pt idx="5">
                  <c:v>0.99999999999999989</c:v>
                </c:pt>
                <c:pt idx="6">
                  <c:v>1.0999999999999999</c:v>
                </c:pt>
                <c:pt idx="7">
                  <c:v>1.2</c:v>
                </c:pt>
                <c:pt idx="8">
                  <c:v>1.3</c:v>
                </c:pt>
                <c:pt idx="9">
                  <c:v>1.4000000000000001</c:v>
                </c:pt>
                <c:pt idx="10">
                  <c:v>1.5000000000000002</c:v>
                </c:pt>
              </c:numCache>
            </c:numRef>
          </c:xVal>
          <c:yVal>
            <c:numRef>
              <c:f>'OAT Scenario Curves'!$K$43:$K$53</c:f>
              <c:numCache>
                <c:formatCode>\€0.00;[Red]\(\€0.00\);\-</c:formatCode>
                <c:ptCount val="11"/>
                <c:pt idx="0">
                  <c:v>17.604199388759117</c:v>
                </c:pt>
                <c:pt idx="1">
                  <c:v>18.26472826498064</c:v>
                </c:pt>
                <c:pt idx="2">
                  <c:v>18.945726298497949</c:v>
                </c:pt>
                <c:pt idx="3">
                  <c:v>19.646566049180574</c:v>
                </c:pt>
                <c:pt idx="4">
                  <c:v>20.366580994212068</c:v>
                </c:pt>
                <c:pt idx="5">
                  <c:v>21.105072878565522</c:v>
                </c:pt>
                <c:pt idx="6">
                  <c:v>21.861318903323845</c:v>
                </c:pt>
                <c:pt idx="7">
                  <c:v>22.634578637436103</c:v>
                </c:pt>
                <c:pt idx="8">
                  <c:v>23.424100557507561</c:v>
                </c:pt>
                <c:pt idx="9">
                  <c:v>24.229128139875229</c:v>
                </c:pt>
                <c:pt idx="10">
                  <c:v>25.048905448661582</c:v>
                </c:pt>
              </c:numCache>
            </c:numRef>
          </c:yVal>
          <c:smooth val="1"/>
          <c:extLst>
            <c:ext xmlns:c16="http://schemas.microsoft.com/office/drawing/2014/chart" uri="{C3380CC4-5D6E-409C-BE32-E72D297353CC}">
              <c16:uniqueId val="{00000003-5006-4BF1-8AED-774149C7EC9E}"/>
            </c:ext>
          </c:extLst>
        </c:ser>
        <c:dLbls>
          <c:showLegendKey val="0"/>
          <c:showVal val="0"/>
          <c:showCatName val="0"/>
          <c:showSerName val="0"/>
          <c:showPercent val="0"/>
          <c:showBubbleSize val="0"/>
        </c:dLbls>
        <c:axId val="2138618640"/>
        <c:axId val="1964933424"/>
      </c:scatterChart>
      <c:valAx>
        <c:axId val="1964933424"/>
        <c:scaling>
          <c:orientation val="minMax"/>
          <c:max val="26"/>
          <c:min val="15"/>
        </c:scaling>
        <c:delete val="0"/>
        <c:axPos val="l"/>
        <c:majorGridlines>
          <c:spPr>
            <a:ln w="9525" cmpd="sng">
              <a:solidFill>
                <a:schemeClr val="tx1">
                  <a:lumMod val="15000"/>
                  <a:lumOff val="85000"/>
                </a:schemeClr>
              </a:solidFill>
            </a:ln>
          </c:spPr>
        </c:majorGridlines>
        <c:title>
          <c:tx>
            <c:rich>
              <a:bodyPr/>
              <a:lstStyle/>
              <a:p>
                <a:r>
                  <a:rPr sz="1000" b="0" i="0" u="none">
                    <a:solidFill>
                      <a:schemeClr val="tx1"/>
                    </a:solidFill>
                    <a:latin typeface="+mn-lt"/>
                    <a:ea typeface="+mn-lt"/>
                    <a:cs typeface="+mn-lt"/>
                  </a:rPr>
                  <a:t>LCOH2 [ €/kg ] </a:t>
                </a:r>
              </a:p>
            </c:rich>
          </c:tx>
          <c:overlay val="0"/>
        </c:title>
        <c:numFmt formatCode="\€0.00;[Red]\(\€0.00\);\-" sourceLinked="1"/>
        <c:majorTickMark val="none"/>
        <c:minorTickMark val="none"/>
        <c:tickLblPos val="nextTo"/>
        <c:spPr>
          <a:ln w="9525" cmpd="sng">
            <a:solidFill>
              <a:schemeClr val="tx1"/>
            </a:solidFill>
          </a:ln>
        </c:spPr>
        <c:txPr>
          <a:bodyPr rot="-60000000" vert="horz" anchor="ctr" anchorCtr="1"/>
          <a:lstStyle/>
          <a:p>
            <a:pPr>
              <a:defRPr sz="900" b="0" i="0" u="none">
                <a:solidFill>
                  <a:schemeClr val="tx1"/>
                </a:solidFill>
                <a:latin typeface="+mn-lt"/>
                <a:ea typeface="+mn-lt"/>
                <a:cs typeface="+mn-lt"/>
              </a:defRPr>
            </a:pPr>
            <a:endParaRPr lang="en-US"/>
          </a:p>
        </c:txPr>
        <c:crossAx val="2138618640"/>
        <c:crosses val="autoZero"/>
        <c:crossBetween val="midCat"/>
        <c:majorUnit val="2"/>
        <c:minorUnit val="0.2"/>
      </c:valAx>
      <c:valAx>
        <c:axId val="2138618640"/>
        <c:scaling>
          <c:orientation val="minMax"/>
          <c:max val="1.5"/>
          <c:min val="0.5"/>
        </c:scaling>
        <c:delete val="0"/>
        <c:axPos val="b"/>
        <c:majorGridlines>
          <c:spPr>
            <a:ln w="9525" cmpd="sng">
              <a:solidFill>
                <a:schemeClr val="tx1">
                  <a:lumMod val="15000"/>
                  <a:lumOff val="85000"/>
                </a:schemeClr>
              </a:solidFill>
            </a:ln>
          </c:spPr>
        </c:majorGridlines>
        <c:title>
          <c:tx>
            <c:rich>
              <a:bodyPr/>
              <a:lstStyle/>
              <a:p>
                <a:r>
                  <a:rPr sz="1000" b="0" i="0" u="none">
                    <a:solidFill>
                      <a:schemeClr val="tx1"/>
                    </a:solidFill>
                    <a:latin typeface="+mn-lt"/>
                    <a:ea typeface="+mn-lt"/>
                    <a:cs typeface="+mn-lt"/>
                  </a:rPr>
                  <a:t>Variation Factor</a:t>
                </a:r>
              </a:p>
            </c:rich>
          </c:tx>
          <c:overlay val="0"/>
        </c:title>
        <c:numFmt formatCode="General" sourceLinked="1"/>
        <c:majorTickMark val="none"/>
        <c:minorTickMark val="none"/>
        <c:tickLblPos val="nextTo"/>
        <c:spPr>
          <a:ln w="9525" cmpd="sng">
            <a:solidFill>
              <a:schemeClr val="tx1"/>
            </a:solidFill>
          </a:ln>
        </c:spPr>
        <c:txPr>
          <a:bodyPr rot="-60000000" vert="horz" anchor="ctr" anchorCtr="1"/>
          <a:lstStyle/>
          <a:p>
            <a:pPr>
              <a:defRPr sz="900" b="0" i="0" u="none">
                <a:solidFill>
                  <a:schemeClr val="tx1"/>
                </a:solidFill>
                <a:latin typeface="+mn-lt"/>
                <a:ea typeface="+mn-lt"/>
                <a:cs typeface="+mn-lt"/>
              </a:defRPr>
            </a:pPr>
            <a:endParaRPr lang="en-US"/>
          </a:p>
        </c:txPr>
        <c:crossAx val="1964933424"/>
        <c:crosses val="autoZero"/>
        <c:crossBetween val="midCat"/>
      </c:valAx>
      <c:spPr>
        <a:noFill/>
        <a:ln w="9525">
          <a:solidFill>
            <a:schemeClr val="bg1">
              <a:alpha val="93000"/>
            </a:schemeClr>
          </a:solidFill>
        </a:ln>
      </c:spPr>
    </c:plotArea>
    <c:legend>
      <c:legendPos val="t"/>
      <c:overlay val="0"/>
      <c:spPr>
        <a:noFill/>
      </c:spPr>
      <c:txPr>
        <a:bodyPr rot="0" vert="horz" anchor="ctr" anchorCtr="1"/>
        <a:lstStyle/>
        <a:p>
          <a:pPr>
            <a:defRPr sz="900" b="0" i="0" u="none">
              <a:solidFill>
                <a:schemeClr val="tx1"/>
              </a:solidFill>
              <a:latin typeface="+mn-lt"/>
              <a:ea typeface="+mn-lt"/>
              <a:cs typeface="+mn-lt"/>
            </a:defRPr>
          </a:pPr>
          <a:endParaRPr lang="en-US"/>
        </a:p>
      </c:txPr>
    </c:legend>
    <c:plotVisOnly val="1"/>
    <c:dispBlanksAs val="zero"/>
    <c:showDLblsOverMax val="1"/>
  </c:chart>
  <c:spPr>
    <a:solidFill>
      <a:schemeClr val="bg1"/>
    </a:solidFill>
    <a:ln w="9525" cmpd="sng">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312420</xdr:colOff>
      <xdr:row>45</xdr:row>
      <xdr:rowOff>45720</xdr:rowOff>
    </xdr:from>
    <xdr:to>
      <xdr:col>7</xdr:col>
      <xdr:colOff>632836</xdr:colOff>
      <xdr:row>61</xdr:row>
      <xdr:rowOff>145042</xdr:rowOff>
    </xdr:to>
    <xdr:pic>
      <xdr:nvPicPr>
        <xdr:cNvPr id="2" name="/xl/media/image3.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1</xdr:col>
      <xdr:colOff>0</xdr:colOff>
      <xdr:row>19</xdr:row>
      <xdr:rowOff>0</xdr:rowOff>
    </xdr:from>
    <xdr:to>
      <xdr:col>10</xdr:col>
      <xdr:colOff>467678</xdr:colOff>
      <xdr:row>42</xdr:row>
      <xdr:rowOff>4756</xdr:rowOff>
    </xdr:to>
    <xdr:grpSp>
      <xdr:nvGrpSpPr>
        <xdr:cNvPr id="3" name="Group 2">
          <a:extLst>
            <a:ext uri="{FF2B5EF4-FFF2-40B4-BE49-F238E27FC236}">
              <a16:creationId xmlns:a16="http://schemas.microsoft.com/office/drawing/2014/main" id="{1C751C80-0BE1-1C34-746E-CAB22641F5AF}"/>
            </a:ext>
          </a:extLst>
        </xdr:cNvPr>
        <xdr:cNvGrpSpPr/>
      </xdr:nvGrpSpPr>
      <xdr:grpSpPr>
        <a:xfrm>
          <a:off x="670560" y="4000500"/>
          <a:ext cx="6502718" cy="4210996"/>
          <a:chOff x="860962" y="21023319"/>
          <a:chExt cx="9136405" cy="6120784"/>
        </a:xfrm>
      </xdr:grpSpPr>
      <xdr:pic>
        <xdr:nvPicPr>
          <xdr:cNvPr id="4" name="Graphic 72">
            <a:extLst>
              <a:ext uri="{FF2B5EF4-FFF2-40B4-BE49-F238E27FC236}">
                <a16:creationId xmlns:a16="http://schemas.microsoft.com/office/drawing/2014/main" id="{5B18355A-CF88-5A48-6656-599CC69B5B2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0962" y="21023319"/>
            <a:ext cx="9136405" cy="6120784"/>
          </a:xfrm>
          <a:prstGeom prst="rect">
            <a:avLst/>
          </a:prstGeom>
        </xdr:spPr>
      </xdr:pic>
      <xdr:sp macro="" textlink="">
        <xdr:nvSpPr>
          <xdr:cNvPr id="5" name="Rectangle 4">
            <a:extLst>
              <a:ext uri="{FF2B5EF4-FFF2-40B4-BE49-F238E27FC236}">
                <a16:creationId xmlns:a16="http://schemas.microsoft.com/office/drawing/2014/main" id="{9500171C-B0FA-1F62-67C8-829378C8ED96}"/>
              </a:ext>
            </a:extLst>
          </xdr:cNvPr>
          <xdr:cNvSpPr/>
        </xdr:nvSpPr>
        <xdr:spPr>
          <a:xfrm>
            <a:off x="5074633" y="24382275"/>
            <a:ext cx="1652377" cy="3491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kern="0"/>
            </a:defPPr>
            <a:lvl1pPr marL="0" algn="l" defTabSz="457159" rtl="0" eaLnBrk="1" latinLnBrk="0" hangingPunct="1">
              <a:defRPr sz="1800" kern="1200">
                <a:solidFill>
                  <a:schemeClr val="lt1"/>
                </a:solidFill>
                <a:latin typeface="+mn-lt"/>
                <a:ea typeface="+mn-ea"/>
                <a:cs typeface="+mn-cs"/>
              </a:defRPr>
            </a:lvl1pPr>
            <a:lvl2pPr marL="457159" algn="l" defTabSz="457159" rtl="0" eaLnBrk="1" latinLnBrk="0" hangingPunct="1">
              <a:defRPr sz="1800" kern="1200">
                <a:solidFill>
                  <a:schemeClr val="lt1"/>
                </a:solidFill>
                <a:latin typeface="+mn-lt"/>
                <a:ea typeface="+mn-ea"/>
                <a:cs typeface="+mn-cs"/>
              </a:defRPr>
            </a:lvl2pPr>
            <a:lvl3pPr marL="914317" algn="l" defTabSz="457159" rtl="0" eaLnBrk="1" latinLnBrk="0" hangingPunct="1">
              <a:defRPr sz="1800" kern="1200">
                <a:solidFill>
                  <a:schemeClr val="lt1"/>
                </a:solidFill>
                <a:latin typeface="+mn-lt"/>
                <a:ea typeface="+mn-ea"/>
                <a:cs typeface="+mn-cs"/>
              </a:defRPr>
            </a:lvl3pPr>
            <a:lvl4pPr marL="1371476" algn="l" defTabSz="457159" rtl="0" eaLnBrk="1" latinLnBrk="0" hangingPunct="1">
              <a:defRPr sz="1800" kern="1200">
                <a:solidFill>
                  <a:schemeClr val="lt1"/>
                </a:solidFill>
                <a:latin typeface="+mn-lt"/>
                <a:ea typeface="+mn-ea"/>
                <a:cs typeface="+mn-cs"/>
              </a:defRPr>
            </a:lvl4pPr>
            <a:lvl5pPr marL="1828634" algn="l" defTabSz="457159" rtl="0" eaLnBrk="1" latinLnBrk="0" hangingPunct="1">
              <a:defRPr sz="1800" kern="1200">
                <a:solidFill>
                  <a:schemeClr val="lt1"/>
                </a:solidFill>
                <a:latin typeface="+mn-lt"/>
                <a:ea typeface="+mn-ea"/>
                <a:cs typeface="+mn-cs"/>
              </a:defRPr>
            </a:lvl5pPr>
            <a:lvl6pPr marL="2285792" algn="l" defTabSz="457159" rtl="0" eaLnBrk="1" latinLnBrk="0" hangingPunct="1">
              <a:defRPr sz="1800" kern="1200">
                <a:solidFill>
                  <a:schemeClr val="lt1"/>
                </a:solidFill>
                <a:latin typeface="+mn-lt"/>
                <a:ea typeface="+mn-ea"/>
                <a:cs typeface="+mn-cs"/>
              </a:defRPr>
            </a:lvl6pPr>
            <a:lvl7pPr marL="2742951" algn="l" defTabSz="457159" rtl="0" eaLnBrk="1" latinLnBrk="0" hangingPunct="1">
              <a:defRPr sz="1800" kern="1200">
                <a:solidFill>
                  <a:schemeClr val="lt1"/>
                </a:solidFill>
                <a:latin typeface="+mn-lt"/>
                <a:ea typeface="+mn-ea"/>
                <a:cs typeface="+mn-cs"/>
              </a:defRPr>
            </a:lvl7pPr>
            <a:lvl8pPr marL="3200109" algn="l" defTabSz="457159" rtl="0" eaLnBrk="1" latinLnBrk="0" hangingPunct="1">
              <a:defRPr sz="1800" kern="1200">
                <a:solidFill>
                  <a:schemeClr val="lt1"/>
                </a:solidFill>
                <a:latin typeface="+mn-lt"/>
                <a:ea typeface="+mn-ea"/>
                <a:cs typeface="+mn-cs"/>
              </a:defRPr>
            </a:lvl8pPr>
            <a:lvl9pPr marL="3657268" algn="l" defTabSz="457159" rtl="0" eaLnBrk="1" latinLnBrk="0" hangingPunct="1">
              <a:defRPr sz="1800" kern="1200">
                <a:solidFill>
                  <a:schemeClr val="lt1"/>
                </a:solidFill>
                <a:latin typeface="+mn-lt"/>
                <a:ea typeface="+mn-ea"/>
                <a:cs typeface="+mn-cs"/>
              </a:defRPr>
            </a:lvl9pPr>
          </a:lstStyle>
          <a:p>
            <a:pPr algn="ctr"/>
            <a:r>
              <a:rPr lang="en-US" sz="900" b="1">
                <a:solidFill>
                  <a:schemeClr val="tx1">
                    <a:lumMod val="85000"/>
                    <a:lumOff val="15000"/>
                  </a:schemeClr>
                </a:solidFill>
                <a:latin typeface="+mj-lt"/>
              </a:rPr>
              <a:t>2 stage</a:t>
            </a:r>
            <a:br>
              <a:rPr lang="en-US" sz="900" b="1">
                <a:solidFill>
                  <a:schemeClr val="tx1">
                    <a:lumMod val="85000"/>
                    <a:lumOff val="15000"/>
                  </a:schemeClr>
                </a:solidFill>
                <a:latin typeface="+mj-lt"/>
              </a:rPr>
            </a:br>
            <a:r>
              <a:rPr lang="en-US" sz="900" b="1">
                <a:solidFill>
                  <a:schemeClr val="tx1">
                    <a:lumMod val="85000"/>
                    <a:lumOff val="15000"/>
                  </a:schemeClr>
                </a:solidFill>
                <a:latin typeface="+mj-lt"/>
              </a:rPr>
              <a:t>compression</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2590800</xdr:colOff>
      <xdr:row>41</xdr:row>
      <xdr:rowOff>83820</xdr:rowOff>
    </xdr:to>
    <xdr:sp macro="" textlink="">
      <xdr:nvSpPr>
        <xdr:cNvPr id="2050" name="Text Box 2" hidden="1">
          <a:extLst>
            <a:ext uri="{FF2B5EF4-FFF2-40B4-BE49-F238E27FC236}">
              <a16:creationId xmlns:a16="http://schemas.microsoft.com/office/drawing/2014/main" id="{ECD1D482-471C-84B6-B3B6-E87BC28754F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21</xdr:row>
      <xdr:rowOff>0</xdr:rowOff>
    </xdr:from>
    <xdr:to>
      <xdr:col>13</xdr:col>
      <xdr:colOff>0</xdr:colOff>
      <xdr:row>43</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494014</xdr:colOff>
      <xdr:row>16</xdr:row>
      <xdr:rowOff>75771</xdr:rowOff>
    </xdr:from>
    <xdr:to>
      <xdr:col>14</xdr:col>
      <xdr:colOff>510989</xdr:colOff>
      <xdr:row>28</xdr:row>
      <xdr:rowOff>26894</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186448</xdr:colOff>
      <xdr:row>19</xdr:row>
      <xdr:rowOff>91601</xdr:rowOff>
    </xdr:from>
    <xdr:to>
      <xdr:col>25</xdr:col>
      <xdr:colOff>324257</xdr:colOff>
      <xdr:row>34</xdr:row>
      <xdr:rowOff>38099</xdr:rowOff>
    </xdr:to>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210766</xdr:colOff>
      <xdr:row>19</xdr:row>
      <xdr:rowOff>91602</xdr:rowOff>
    </xdr:from>
    <xdr:to>
      <xdr:col>6</xdr:col>
      <xdr:colOff>299936</xdr:colOff>
      <xdr:row>34</xdr:row>
      <xdr:rowOff>38100</xdr:rowOff>
    </xdr:to>
    <xdr:graphicFrame macro="">
      <xdr:nvGraphicFramePr>
        <xdr:cNvPr id="4" nam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462065</xdr:colOff>
      <xdr:row>54</xdr:row>
      <xdr:rowOff>115921</xdr:rowOff>
    </xdr:from>
    <xdr:to>
      <xdr:col>11</xdr:col>
      <xdr:colOff>479426</xdr:colOff>
      <xdr:row>73</xdr:row>
      <xdr:rowOff>173432</xdr:rowOff>
    </xdr:to>
    <xdr:graphicFrame macro="">
      <xdr:nvGraphicFramePr>
        <xdr:cNvPr id="5" nam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frontiersin.org/journals/energy-research/articles/10.3389/fenrg.2024.1380543/full" TargetMode="External"/><Relationship Id="rId1" Type="http://schemas.openxmlformats.org/officeDocument/2006/relationships/hyperlink" Target="https://www.agora-energiewende.org/fileadmin/Projekte/2022/2022-12-10_Trans4Real/A-EW_301_LCOH_WEB.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frontiersin.org/journals/energy-research/articles/10.3389/fenrg.2024.1380543/full" TargetMode="External"/><Relationship Id="rId3" Type="http://schemas.openxmlformats.org/officeDocument/2006/relationships/hyperlink" Target="https://h2-batarow.com/en/electrolyzer/ely-22" TargetMode="External"/><Relationship Id="rId7" Type="http://schemas.openxmlformats.org/officeDocument/2006/relationships/hyperlink" Target="https://www.frontiersin.org/journals/energy-research/articles/10.3389/fenrg.2024.1380543/full" TargetMode="External"/><Relationship Id="rId2" Type="http://schemas.openxmlformats.org/officeDocument/2006/relationships/hyperlink" Target="https://iea-pvps.org/national_survey/nsr-austria-2024/" TargetMode="External"/><Relationship Id="rId1" Type="http://schemas.openxmlformats.org/officeDocument/2006/relationships/hyperlink" Target="https://www.frontiersin.org/journals/energy-research/articles/10.3389/fenrg.2024.1380543/full" TargetMode="External"/><Relationship Id="rId6" Type="http://schemas.openxmlformats.org/officeDocument/2006/relationships/hyperlink" Target="https://www.frontiersin.org/journals/energy-research/articles/10.3389/fenrg.2024.1380543/full" TargetMode="External"/><Relationship Id="rId5" Type="http://schemas.openxmlformats.org/officeDocument/2006/relationships/hyperlink" Target="https://h2-batarow.com/en/s-1-eng" TargetMode="External"/><Relationship Id="rId4" Type="http://schemas.openxmlformats.org/officeDocument/2006/relationships/hyperlink" Target="https://h2-batarow.com/en/compressor"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
  <sheetViews>
    <sheetView workbookViewId="0">
      <selection activeCell="O22" sqref="O22"/>
    </sheetView>
  </sheetViews>
  <sheetFormatPr defaultRowHeight="14.4"/>
  <cols>
    <col min="1" max="1" width="8.796875" style="57" customWidth="1"/>
    <col min="2" max="16384" width="8.796875" style="57"/>
  </cols>
  <sheetData>
    <row r="1" spans="1:19" s="73" customFormat="1" ht="21.15" customHeight="1">
      <c r="A1" s="73" t="s">
        <v>0</v>
      </c>
    </row>
    <row r="4" spans="1:19" ht="21">
      <c r="A4" s="74" t="s">
        <v>1</v>
      </c>
      <c r="B4" s="74"/>
      <c r="C4" s="74"/>
    </row>
    <row r="5" spans="1:19" ht="36" customHeight="1">
      <c r="A5" s="75" t="s">
        <v>281</v>
      </c>
      <c r="B5" s="76"/>
      <c r="C5" s="76"/>
      <c r="D5" s="76"/>
      <c r="E5" s="76"/>
      <c r="F5" s="76"/>
      <c r="G5" s="76"/>
      <c r="H5" s="76"/>
      <c r="I5" s="76"/>
      <c r="J5" s="76"/>
      <c r="K5" s="76"/>
      <c r="L5" s="76"/>
      <c r="M5" s="76"/>
      <c r="N5" s="76"/>
      <c r="O5" s="76"/>
      <c r="P5" s="76"/>
      <c r="Q5" s="76"/>
      <c r="R5" s="76"/>
      <c r="S5" s="76"/>
    </row>
    <row r="6" spans="1:19">
      <c r="A6" s="77" t="s">
        <v>2</v>
      </c>
      <c r="B6" s="77"/>
      <c r="C6" s="77"/>
      <c r="D6" s="77"/>
      <c r="E6" s="78"/>
      <c r="F6" s="78"/>
      <c r="G6" s="78"/>
      <c r="H6" s="78"/>
      <c r="I6" s="78"/>
      <c r="J6" s="78"/>
      <c r="K6" s="78"/>
      <c r="L6" s="78"/>
      <c r="M6" s="78"/>
      <c r="N6" s="78"/>
    </row>
    <row r="7" spans="1:19">
      <c r="A7" s="77" t="s">
        <v>3</v>
      </c>
      <c r="B7" s="77"/>
      <c r="C7" s="77"/>
      <c r="D7" s="77"/>
    </row>
    <row r="9" spans="1:19" ht="21">
      <c r="A9" s="74" t="s">
        <v>4</v>
      </c>
      <c r="B9" s="74"/>
      <c r="C9" s="74"/>
    </row>
    <row r="10" spans="1:19">
      <c r="A10" s="79" t="s">
        <v>5</v>
      </c>
      <c r="B10" s="80"/>
      <c r="C10" s="80"/>
      <c r="D10" s="81" t="s">
        <v>6</v>
      </c>
      <c r="E10" s="81"/>
      <c r="F10" s="81"/>
      <c r="G10" s="81"/>
      <c r="H10" s="81"/>
      <c r="I10" s="81"/>
      <c r="J10" s="81"/>
      <c r="K10" s="81"/>
      <c r="L10" s="81"/>
      <c r="M10" s="81"/>
      <c r="N10" s="81"/>
      <c r="O10" s="81"/>
      <c r="P10" s="81"/>
      <c r="Q10" s="81"/>
      <c r="R10" s="81"/>
      <c r="S10" s="82"/>
    </row>
    <row r="11" spans="1:19">
      <c r="A11" s="83" t="s">
        <v>7</v>
      </c>
      <c r="B11" s="84"/>
      <c r="C11" s="84"/>
      <c r="D11" s="85" t="s">
        <v>8</v>
      </c>
      <c r="E11" s="85"/>
      <c r="F11" s="85"/>
      <c r="G11" s="85"/>
      <c r="H11" s="85"/>
      <c r="I11" s="85"/>
      <c r="J11" s="85"/>
      <c r="K11" s="85"/>
      <c r="L11" s="85"/>
      <c r="M11" s="85"/>
      <c r="N11" s="85"/>
      <c r="O11" s="85"/>
      <c r="P11" s="85"/>
      <c r="Q11" s="85"/>
      <c r="R11" s="85"/>
      <c r="S11" s="86"/>
    </row>
    <row r="12" spans="1:19">
      <c r="A12" s="83" t="s">
        <v>9</v>
      </c>
      <c r="B12" s="84"/>
      <c r="C12" s="84"/>
      <c r="D12" s="85" t="s">
        <v>10</v>
      </c>
      <c r="E12" s="85"/>
      <c r="F12" s="85"/>
      <c r="G12" s="85"/>
      <c r="H12" s="85"/>
      <c r="I12" s="85"/>
      <c r="J12" s="85"/>
      <c r="K12" s="85"/>
      <c r="L12" s="85"/>
      <c r="M12" s="85"/>
      <c r="N12" s="85"/>
      <c r="O12" s="85"/>
      <c r="P12" s="85"/>
      <c r="Q12" s="85"/>
      <c r="R12" s="85"/>
      <c r="S12" s="86"/>
    </row>
    <row r="13" spans="1:19">
      <c r="A13" s="83" t="s">
        <v>250</v>
      </c>
      <c r="B13" s="84"/>
      <c r="C13" s="84"/>
      <c r="D13" s="85" t="s">
        <v>11</v>
      </c>
      <c r="E13" s="85"/>
      <c r="F13" s="85"/>
      <c r="G13" s="85"/>
      <c r="H13" s="85"/>
      <c r="I13" s="85"/>
      <c r="J13" s="85"/>
      <c r="K13" s="85"/>
      <c r="L13" s="85"/>
      <c r="M13" s="85"/>
      <c r="N13" s="85"/>
      <c r="O13" s="85"/>
      <c r="P13" s="85"/>
      <c r="Q13" s="85"/>
      <c r="R13" s="85"/>
      <c r="S13" s="86"/>
    </row>
    <row r="14" spans="1:19">
      <c r="A14" s="83" t="s">
        <v>12</v>
      </c>
      <c r="B14" s="84"/>
      <c r="C14" s="84"/>
      <c r="D14" s="85" t="s">
        <v>286</v>
      </c>
      <c r="E14" s="85"/>
      <c r="F14" s="85"/>
      <c r="G14" s="85"/>
      <c r="H14" s="85"/>
      <c r="I14" s="85"/>
      <c r="J14" s="85"/>
      <c r="K14" s="85"/>
      <c r="L14" s="85"/>
      <c r="M14" s="85"/>
      <c r="N14" s="85"/>
      <c r="O14" s="85"/>
      <c r="P14" s="85"/>
      <c r="Q14" s="85"/>
      <c r="R14" s="85"/>
      <c r="S14" s="86"/>
    </row>
    <row r="15" spans="1:19">
      <c r="A15" s="83" t="s">
        <v>282</v>
      </c>
      <c r="B15" s="84"/>
      <c r="C15" s="84"/>
      <c r="D15" s="85" t="s">
        <v>13</v>
      </c>
      <c r="E15" s="85"/>
      <c r="F15" s="85"/>
      <c r="G15" s="85"/>
      <c r="H15" s="85"/>
      <c r="I15" s="85"/>
      <c r="J15" s="85"/>
      <c r="K15" s="85"/>
      <c r="L15" s="85"/>
      <c r="M15" s="85"/>
      <c r="N15" s="85"/>
      <c r="O15" s="85"/>
      <c r="P15" s="85"/>
      <c r="Q15" s="85"/>
      <c r="R15" s="85"/>
      <c r="S15" s="86"/>
    </row>
    <row r="16" spans="1:19">
      <c r="A16" s="87" t="s">
        <v>283</v>
      </c>
      <c r="B16" s="88"/>
      <c r="C16" s="88"/>
      <c r="D16" s="89" t="s">
        <v>14</v>
      </c>
      <c r="E16" s="89"/>
      <c r="F16" s="89"/>
      <c r="G16" s="89"/>
      <c r="H16" s="89"/>
      <c r="I16" s="89"/>
      <c r="J16" s="89"/>
      <c r="K16" s="89"/>
      <c r="L16" s="89"/>
      <c r="M16" s="89"/>
      <c r="N16" s="89"/>
      <c r="O16" s="89"/>
      <c r="P16" s="89"/>
      <c r="Q16" s="89"/>
      <c r="R16" s="89"/>
      <c r="S16" s="90"/>
    </row>
    <row r="44" spans="2:11">
      <c r="B44" s="91" t="s">
        <v>287</v>
      </c>
      <c r="C44" s="91"/>
      <c r="D44" s="91"/>
      <c r="E44" s="91"/>
      <c r="F44" s="91"/>
      <c r="G44" s="91"/>
      <c r="H44" s="91"/>
      <c r="I44" s="91"/>
      <c r="J44" s="91"/>
      <c r="K44" s="91"/>
    </row>
    <row r="64" spans="2:8">
      <c r="B64" s="91" t="s">
        <v>288</v>
      </c>
      <c r="C64" s="91"/>
      <c r="D64" s="91"/>
      <c r="E64" s="91"/>
      <c r="F64" s="91"/>
      <c r="G64" s="91"/>
      <c r="H64" s="91"/>
    </row>
  </sheetData>
  <mergeCells count="22">
    <mergeCell ref="A4:C4"/>
    <mergeCell ref="A6:D6"/>
    <mergeCell ref="A7:D7"/>
    <mergeCell ref="A1:XFD1"/>
    <mergeCell ref="A13:C13"/>
    <mergeCell ref="A9:C9"/>
    <mergeCell ref="A10:C10"/>
    <mergeCell ref="A11:C11"/>
    <mergeCell ref="A12:C12"/>
    <mergeCell ref="D16:S16"/>
    <mergeCell ref="B44:K44"/>
    <mergeCell ref="A5:S5"/>
    <mergeCell ref="B64:H64"/>
    <mergeCell ref="D10:S10"/>
    <mergeCell ref="D11:S11"/>
    <mergeCell ref="D12:S12"/>
    <mergeCell ref="D13:S13"/>
    <mergeCell ref="D14:S14"/>
    <mergeCell ref="D15:S15"/>
    <mergeCell ref="A14:C14"/>
    <mergeCell ref="A15:C15"/>
    <mergeCell ref="A16:C16"/>
  </mergeCells>
  <hyperlinks>
    <hyperlink ref="A6:D6" r:id="rId1" display="Agora Energiewende (2023)" xr:uid="{B7C2C949-2E22-4754-8D05-ACC1785A0A4B}"/>
    <hyperlink ref="A7:D7" r:id="rId2" display="Silva et.al. (2024)" xr:uid="{0B4DBE2B-FE41-48BB-9956-793CFF62615E}"/>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topLeftCell="A8" workbookViewId="0">
      <selection activeCell="G19" sqref="G19"/>
    </sheetView>
  </sheetViews>
  <sheetFormatPr defaultColWidth="8.69921875" defaultRowHeight="14.4"/>
  <cols>
    <col min="1" max="1" width="16" style="57" customWidth="1"/>
    <col min="2" max="2" width="34" style="57" customWidth="1"/>
    <col min="3" max="3" width="20" style="57" customWidth="1"/>
    <col min="4" max="4" width="16" style="57" customWidth="1"/>
    <col min="5" max="5" width="62.59765625" style="57" customWidth="1"/>
    <col min="6" max="16384" width="8.69921875" style="57"/>
  </cols>
  <sheetData>
    <row r="1" spans="1:6" ht="18.149999999999999" customHeight="1">
      <c r="A1" s="56" t="s">
        <v>15</v>
      </c>
      <c r="B1" s="56"/>
      <c r="C1" s="56"/>
      <c r="D1" s="56"/>
      <c r="E1" s="56"/>
      <c r="F1" s="56"/>
    </row>
    <row r="3" spans="1:6">
      <c r="A3" s="58" t="s">
        <v>16</v>
      </c>
      <c r="B3" s="58" t="s">
        <v>17</v>
      </c>
      <c r="C3" s="58" t="s">
        <v>18</v>
      </c>
      <c r="D3" s="58" t="s">
        <v>19</v>
      </c>
      <c r="E3" s="59" t="s">
        <v>20</v>
      </c>
      <c r="F3" s="59"/>
    </row>
    <row r="4" spans="1:6">
      <c r="A4" s="60" t="s">
        <v>21</v>
      </c>
      <c r="B4" s="60" t="s">
        <v>22</v>
      </c>
      <c r="C4" s="57" t="s">
        <v>23</v>
      </c>
      <c r="D4" s="61">
        <v>0.06</v>
      </c>
      <c r="E4" s="62" t="s">
        <v>24</v>
      </c>
      <c r="F4" s="62"/>
    </row>
    <row r="5" spans="1:6">
      <c r="A5" s="60" t="s">
        <v>21</v>
      </c>
      <c r="B5" s="60" t="s">
        <v>25</v>
      </c>
      <c r="C5" s="57" t="s">
        <v>26</v>
      </c>
      <c r="D5" s="63">
        <v>20</v>
      </c>
      <c r="E5" s="62" t="s">
        <v>24</v>
      </c>
      <c r="F5" s="62"/>
    </row>
    <row r="6" spans="1:6">
      <c r="A6" s="60"/>
      <c r="B6" s="60"/>
      <c r="D6" s="63"/>
      <c r="E6" s="62"/>
      <c r="F6" s="62"/>
    </row>
    <row r="7" spans="1:6" ht="31.8" customHeight="1">
      <c r="A7" s="60" t="s">
        <v>27</v>
      </c>
      <c r="B7" s="60" t="s">
        <v>28</v>
      </c>
      <c r="C7" s="57" t="s">
        <v>29</v>
      </c>
      <c r="D7" s="63">
        <f>D10*D11*D27</f>
        <v>60000</v>
      </c>
      <c r="E7" s="62" t="s">
        <v>30</v>
      </c>
      <c r="F7" s="62"/>
    </row>
    <row r="8" spans="1:6">
      <c r="A8" s="60" t="s">
        <v>27</v>
      </c>
      <c r="B8" s="60" t="s">
        <v>31</v>
      </c>
      <c r="C8" s="57" t="s">
        <v>26</v>
      </c>
      <c r="D8" s="63">
        <v>25</v>
      </c>
      <c r="E8" s="62" t="s">
        <v>24</v>
      </c>
      <c r="F8" s="62"/>
    </row>
    <row r="9" spans="1:6" ht="12.6" customHeight="1">
      <c r="A9" s="60" t="s">
        <v>27</v>
      </c>
      <c r="B9" s="60" t="s">
        <v>32</v>
      </c>
      <c r="C9" s="57" t="s">
        <v>33</v>
      </c>
      <c r="D9" s="61">
        <v>0.05</v>
      </c>
      <c r="E9" s="64" t="s">
        <v>34</v>
      </c>
      <c r="F9" s="64"/>
    </row>
    <row r="10" spans="1:6">
      <c r="A10" s="60" t="s">
        <v>27</v>
      </c>
      <c r="B10" s="60" t="s">
        <v>35</v>
      </c>
      <c r="C10" s="60" t="s">
        <v>36</v>
      </c>
      <c r="D10" s="65">
        <v>60</v>
      </c>
      <c r="E10" s="62" t="s">
        <v>37</v>
      </c>
      <c r="F10" s="62"/>
    </row>
    <row r="11" spans="1:6">
      <c r="A11" s="60" t="s">
        <v>27</v>
      </c>
      <c r="B11" s="60" t="s">
        <v>38</v>
      </c>
      <c r="C11" s="60" t="s">
        <v>39</v>
      </c>
      <c r="D11" s="65">
        <v>1000</v>
      </c>
      <c r="E11" s="64" t="s">
        <v>40</v>
      </c>
      <c r="F11" s="64"/>
    </row>
    <row r="12" spans="1:6">
      <c r="A12" s="60"/>
      <c r="B12" s="60"/>
      <c r="C12" s="60"/>
      <c r="D12" s="65"/>
      <c r="E12" s="62"/>
      <c r="F12" s="62"/>
    </row>
    <row r="13" spans="1:6" ht="12" customHeight="1">
      <c r="A13" s="60" t="s">
        <v>41</v>
      </c>
      <c r="B13" s="60" t="s">
        <v>42</v>
      </c>
      <c r="C13" s="57" t="s">
        <v>29</v>
      </c>
      <c r="D13" s="63">
        <v>60000</v>
      </c>
      <c r="E13" s="64" t="s">
        <v>43</v>
      </c>
      <c r="F13" s="64"/>
    </row>
    <row r="14" spans="1:6">
      <c r="A14" s="60" t="s">
        <v>41</v>
      </c>
      <c r="B14" s="60" t="s">
        <v>44</v>
      </c>
      <c r="C14" s="57" t="s">
        <v>26</v>
      </c>
      <c r="D14" s="63">
        <v>20</v>
      </c>
      <c r="E14" s="62" t="s">
        <v>24</v>
      </c>
      <c r="F14" s="62"/>
    </row>
    <row r="15" spans="1:6">
      <c r="A15" s="60" t="s">
        <v>41</v>
      </c>
      <c r="B15" s="60" t="s">
        <v>45</v>
      </c>
      <c r="C15" s="57" t="s">
        <v>33</v>
      </c>
      <c r="D15" s="61">
        <v>0.02</v>
      </c>
      <c r="E15" s="66" t="s">
        <v>34</v>
      </c>
      <c r="F15" s="66"/>
    </row>
    <row r="16" spans="1:6">
      <c r="A16" s="60" t="s">
        <v>41</v>
      </c>
      <c r="B16" s="60" t="s">
        <v>46</v>
      </c>
      <c r="C16" s="57" t="s">
        <v>47</v>
      </c>
      <c r="D16" s="61">
        <v>0.25</v>
      </c>
      <c r="E16" s="66" t="s">
        <v>285</v>
      </c>
      <c r="F16" s="66"/>
    </row>
    <row r="17" spans="1:6">
      <c r="A17" s="60" t="s">
        <v>41</v>
      </c>
      <c r="B17" s="60" t="s">
        <v>48</v>
      </c>
      <c r="C17" s="57" t="s">
        <v>49</v>
      </c>
      <c r="D17" s="63">
        <v>60000</v>
      </c>
      <c r="E17" s="66" t="s">
        <v>34</v>
      </c>
      <c r="F17" s="66"/>
    </row>
    <row r="18" spans="1:6">
      <c r="A18" s="60"/>
      <c r="B18" s="60"/>
      <c r="D18" s="63"/>
      <c r="E18" s="64"/>
      <c r="F18" s="64"/>
    </row>
    <row r="19" spans="1:6">
      <c r="A19" s="60" t="s">
        <v>50</v>
      </c>
      <c r="B19" s="60" t="s">
        <v>51</v>
      </c>
      <c r="C19" s="57" t="s">
        <v>29</v>
      </c>
      <c r="D19" s="63">
        <v>10000</v>
      </c>
      <c r="E19" s="64" t="s">
        <v>52</v>
      </c>
      <c r="F19" s="64"/>
    </row>
    <row r="20" spans="1:6">
      <c r="A20" s="60" t="s">
        <v>50</v>
      </c>
      <c r="B20" s="60" t="s">
        <v>53</v>
      </c>
      <c r="C20" s="57" t="s">
        <v>26</v>
      </c>
      <c r="D20" s="63">
        <v>15</v>
      </c>
      <c r="E20" s="62" t="s">
        <v>24</v>
      </c>
      <c r="F20" s="62"/>
    </row>
    <row r="21" spans="1:6" ht="22.95" customHeight="1">
      <c r="A21" s="60" t="s">
        <v>50</v>
      </c>
      <c r="B21" s="60" t="s">
        <v>54</v>
      </c>
      <c r="C21" s="57" t="s">
        <v>33</v>
      </c>
      <c r="D21" s="61">
        <v>0.04</v>
      </c>
      <c r="E21" s="64" t="s">
        <v>34</v>
      </c>
      <c r="F21" s="64"/>
    </row>
    <row r="22" spans="1:6">
      <c r="A22" s="60"/>
      <c r="B22" s="60"/>
      <c r="D22" s="63"/>
      <c r="E22" s="64"/>
      <c r="F22" s="64"/>
    </row>
    <row r="23" spans="1:6">
      <c r="A23" s="60" t="s">
        <v>55</v>
      </c>
      <c r="B23" s="60" t="s">
        <v>56</v>
      </c>
      <c r="C23" s="57" t="s">
        <v>57</v>
      </c>
      <c r="D23" s="63">
        <v>1000</v>
      </c>
      <c r="E23" s="62" t="s">
        <v>24</v>
      </c>
      <c r="F23" s="62"/>
    </row>
    <row r="24" spans="1:6">
      <c r="A24" s="60" t="s">
        <v>55</v>
      </c>
      <c r="B24" s="60" t="s">
        <v>58</v>
      </c>
      <c r="C24" s="57" t="s">
        <v>57</v>
      </c>
      <c r="D24" s="63">
        <v>683.8</v>
      </c>
      <c r="E24" s="64" t="s">
        <v>59</v>
      </c>
      <c r="F24" s="64"/>
    </row>
    <row r="25" spans="1:6">
      <c r="A25" s="60" t="s">
        <v>55</v>
      </c>
      <c r="B25" s="60" t="s">
        <v>60</v>
      </c>
      <c r="C25" s="57" t="s">
        <v>26</v>
      </c>
      <c r="D25" s="63">
        <v>20</v>
      </c>
      <c r="E25" s="62" t="s">
        <v>24</v>
      </c>
      <c r="F25" s="62"/>
    </row>
    <row r="26" spans="1:6">
      <c r="A26" s="60" t="s">
        <v>55</v>
      </c>
      <c r="B26" s="60" t="s">
        <v>61</v>
      </c>
      <c r="C26" s="57" t="s">
        <v>33</v>
      </c>
      <c r="D26" s="61">
        <v>0.01</v>
      </c>
      <c r="E26" s="62" t="s">
        <v>24</v>
      </c>
      <c r="F26" s="62"/>
    </row>
    <row r="27" spans="1:6" ht="11.55" hidden="1" customHeight="1">
      <c r="A27" s="60" t="s">
        <v>27</v>
      </c>
      <c r="B27" s="60" t="s">
        <v>62</v>
      </c>
      <c r="C27" s="60" t="s">
        <v>23</v>
      </c>
      <c r="D27" s="67">
        <v>1</v>
      </c>
      <c r="E27" s="62" t="s">
        <v>63</v>
      </c>
      <c r="F27" s="62"/>
    </row>
    <row r="28" spans="1:6">
      <c r="A28" s="60"/>
      <c r="B28" s="60"/>
      <c r="C28" s="60"/>
      <c r="D28" s="67"/>
      <c r="E28" s="62"/>
      <c r="F28" s="62"/>
    </row>
    <row r="29" spans="1:6">
      <c r="A29" s="60" t="s">
        <v>41</v>
      </c>
      <c r="B29" s="60" t="s">
        <v>64</v>
      </c>
      <c r="C29" s="60" t="s">
        <v>65</v>
      </c>
      <c r="D29" s="65">
        <v>55.52</v>
      </c>
      <c r="E29" s="62" t="s">
        <v>66</v>
      </c>
      <c r="F29" s="62"/>
    </row>
    <row r="30" spans="1:6">
      <c r="A30" s="60" t="s">
        <v>50</v>
      </c>
      <c r="B30" s="60" t="s">
        <v>67</v>
      </c>
      <c r="C30" s="60" t="s">
        <v>65</v>
      </c>
      <c r="D30" s="65">
        <v>1.05</v>
      </c>
      <c r="E30" s="62" t="s">
        <v>66</v>
      </c>
      <c r="F30" s="62"/>
    </row>
    <row r="31" spans="1:6">
      <c r="A31" s="60"/>
      <c r="B31" s="60"/>
      <c r="C31" s="60"/>
      <c r="D31" s="65"/>
      <c r="E31" s="62"/>
      <c r="F31" s="62"/>
    </row>
    <row r="32" spans="1:6">
      <c r="A32" s="60" t="s">
        <v>68</v>
      </c>
      <c r="B32" s="60" t="s">
        <v>69</v>
      </c>
      <c r="C32" s="60" t="s">
        <v>70</v>
      </c>
      <c r="D32" s="65">
        <v>4.4999999999999998E-2</v>
      </c>
      <c r="E32" s="62" t="s">
        <v>24</v>
      </c>
      <c r="F32" s="62"/>
    </row>
  </sheetData>
  <mergeCells count="31">
    <mergeCell ref="E3:F3"/>
    <mergeCell ref="E4:F4"/>
    <mergeCell ref="E5:F5"/>
    <mergeCell ref="E6:F6"/>
    <mergeCell ref="E7:F7"/>
    <mergeCell ref="E8:F8"/>
    <mergeCell ref="E9:F9"/>
    <mergeCell ref="E10:F10"/>
    <mergeCell ref="E11:F11"/>
    <mergeCell ref="E21:F21"/>
    <mergeCell ref="E12:F12"/>
    <mergeCell ref="E13:F13"/>
    <mergeCell ref="E14:F14"/>
    <mergeCell ref="E15:F15"/>
    <mergeCell ref="E16:F16"/>
    <mergeCell ref="E32:F32"/>
    <mergeCell ref="A1:F1"/>
    <mergeCell ref="E27:F27"/>
    <mergeCell ref="E28:F28"/>
    <mergeCell ref="E29:F29"/>
    <mergeCell ref="E30:F30"/>
    <mergeCell ref="E31:F31"/>
    <mergeCell ref="E22:F22"/>
    <mergeCell ref="E23:F23"/>
    <mergeCell ref="E24:F24"/>
    <mergeCell ref="E25:F25"/>
    <mergeCell ref="E26:F26"/>
    <mergeCell ref="E17:F17"/>
    <mergeCell ref="E18:F18"/>
    <mergeCell ref="E19:F19"/>
    <mergeCell ref="E20:F20"/>
  </mergeCells>
  <hyperlinks>
    <hyperlink ref="E9" r:id="rId1" xr:uid="{00000000-0004-0000-0100-000000000000}"/>
    <hyperlink ref="E11" r:id="rId2" xr:uid="{00000000-0004-0000-0100-000001000000}"/>
    <hyperlink ref="E13" r:id="rId3" xr:uid="{00000000-0004-0000-0100-000002000000}"/>
    <hyperlink ref="E19" r:id="rId4" xr:uid="{00000000-0004-0000-0100-000003000000}"/>
    <hyperlink ref="E24" r:id="rId5" xr:uid="{00000000-0004-0000-0100-000004000000}"/>
    <hyperlink ref="E15" r:id="rId6" xr:uid="{A4F1F3A9-4B36-4FEE-991C-92C3B8D48888}"/>
    <hyperlink ref="E16" r:id="rId7" xr:uid="{E817646A-0374-4E6C-B7BE-2C78C7E09BD3}"/>
    <hyperlink ref="E17" r:id="rId8" xr:uid="{1DCD67E5-7C4F-4DEA-9AB2-53E0E8E3FA8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workbookViewId="0">
      <selection activeCell="H16" sqref="H16"/>
    </sheetView>
  </sheetViews>
  <sheetFormatPr defaultRowHeight="14.4"/>
  <cols>
    <col min="1" max="1" width="31" style="57" customWidth="1"/>
    <col min="2" max="2" width="14" style="57" customWidth="1"/>
    <col min="3" max="3" width="22.69921875" style="57" customWidth="1"/>
    <col min="4" max="4" width="23.09765625" style="57" customWidth="1"/>
    <col min="5" max="5" width="22.19921875" style="57" hidden="1" customWidth="1"/>
    <col min="6" max="6" width="23.69921875" style="57" hidden="1" customWidth="1"/>
    <col min="7" max="7" width="44" style="57" customWidth="1"/>
    <col min="8" max="16384" width="8.796875" style="57"/>
  </cols>
  <sheetData>
    <row r="1" spans="1:7" ht="22.2" customHeight="1">
      <c r="A1" s="68" t="s">
        <v>71</v>
      </c>
      <c r="B1" s="68"/>
      <c r="C1" s="68"/>
      <c r="D1" s="68"/>
      <c r="E1" s="68"/>
      <c r="F1" s="68"/>
      <c r="G1" s="68"/>
    </row>
    <row r="3" spans="1:7">
      <c r="A3" s="58" t="s">
        <v>72</v>
      </c>
      <c r="B3" s="58" t="s">
        <v>18</v>
      </c>
      <c r="C3" s="58" t="s">
        <v>73</v>
      </c>
      <c r="D3" s="58" t="s">
        <v>74</v>
      </c>
      <c r="E3" s="58"/>
      <c r="F3" s="58"/>
      <c r="G3" s="58" t="s">
        <v>75</v>
      </c>
    </row>
    <row r="4" spans="1:7">
      <c r="A4" s="60" t="s">
        <v>76</v>
      </c>
      <c r="B4" s="57" t="s">
        <v>77</v>
      </c>
      <c r="C4" s="69" t="s">
        <v>78</v>
      </c>
      <c r="D4" s="69" t="s">
        <v>79</v>
      </c>
      <c r="E4" s="69"/>
      <c r="F4" s="69"/>
      <c r="G4" s="60" t="s">
        <v>80</v>
      </c>
    </row>
    <row r="5" spans="1:7">
      <c r="A5" s="60" t="s">
        <v>81</v>
      </c>
      <c r="B5" s="57" t="s">
        <v>82</v>
      </c>
      <c r="C5" s="70">
        <v>738.4</v>
      </c>
      <c r="D5" s="70">
        <v>738.4</v>
      </c>
      <c r="E5" s="70"/>
      <c r="F5" s="70"/>
      <c r="G5" s="60" t="s">
        <v>83</v>
      </c>
    </row>
    <row r="6" spans="1:7">
      <c r="A6" s="60" t="s">
        <v>84</v>
      </c>
      <c r="B6" s="57" t="s">
        <v>82</v>
      </c>
      <c r="C6" s="70">
        <v>738.4</v>
      </c>
      <c r="D6" s="70">
        <v>738.4</v>
      </c>
      <c r="E6" s="70"/>
      <c r="F6" s="70"/>
      <c r="G6" s="60" t="s">
        <v>85</v>
      </c>
    </row>
    <row r="7" spans="1:7">
      <c r="A7" s="60" t="s">
        <v>86</v>
      </c>
      <c r="B7" s="57" t="s">
        <v>87</v>
      </c>
      <c r="C7" s="70">
        <v>12990.855</v>
      </c>
      <c r="D7" s="70">
        <v>13056.277969537001</v>
      </c>
      <c r="E7" s="70"/>
      <c r="F7" s="70"/>
      <c r="G7" s="60" t="s">
        <v>85</v>
      </c>
    </row>
    <row r="8" spans="1:7">
      <c r="A8" s="60" t="s">
        <v>88</v>
      </c>
      <c r="B8" s="57" t="s">
        <v>87</v>
      </c>
      <c r="C8" s="70">
        <v>30640</v>
      </c>
      <c r="D8" s="70">
        <v>30988.496244015601</v>
      </c>
      <c r="E8" s="70"/>
      <c r="F8" s="70"/>
      <c r="G8" s="60" t="s">
        <v>89</v>
      </c>
    </row>
    <row r="9" spans="1:7">
      <c r="A9" s="60" t="s">
        <v>90</v>
      </c>
      <c r="B9" s="57" t="s">
        <v>87</v>
      </c>
      <c r="C9" s="70">
        <v>61558.93</v>
      </c>
      <c r="D9" s="70">
        <v>61145.059343254303</v>
      </c>
      <c r="E9" s="70"/>
      <c r="F9" s="70"/>
      <c r="G9" s="60" t="s">
        <v>85</v>
      </c>
    </row>
    <row r="10" spans="1:7">
      <c r="A10" s="60" t="s">
        <v>91</v>
      </c>
      <c r="B10" s="57" t="s">
        <v>92</v>
      </c>
      <c r="C10" s="70">
        <v>2821.31</v>
      </c>
      <c r="D10" s="70">
        <v>1309.6600000000001</v>
      </c>
      <c r="E10" s="70"/>
      <c r="F10" s="70"/>
      <c r="G10" s="60" t="s">
        <v>93</v>
      </c>
    </row>
    <row r="11" spans="1:7">
      <c r="A11" s="60" t="s">
        <v>94</v>
      </c>
      <c r="B11" s="57" t="s">
        <v>87</v>
      </c>
      <c r="C11" s="70">
        <v>0</v>
      </c>
      <c r="D11" s="70">
        <v>745.78</v>
      </c>
      <c r="E11" s="70"/>
      <c r="F11" s="70"/>
      <c r="G11" s="60" t="s">
        <v>95</v>
      </c>
    </row>
    <row r="12" spans="1:7">
      <c r="A12" s="60" t="s">
        <v>96</v>
      </c>
      <c r="B12" s="57" t="s">
        <v>97</v>
      </c>
      <c r="C12" s="70">
        <v>6.96</v>
      </c>
      <c r="D12" s="70">
        <v>0</v>
      </c>
      <c r="E12" s="70"/>
      <c r="F12" s="70"/>
      <c r="G12" s="60" t="s">
        <v>85</v>
      </c>
    </row>
    <row r="13" spans="1:7">
      <c r="A13" s="60" t="s">
        <v>98</v>
      </c>
      <c r="B13" s="57" t="s">
        <v>97</v>
      </c>
      <c r="C13" s="70">
        <v>0</v>
      </c>
      <c r="D13" s="70">
        <v>7.68</v>
      </c>
      <c r="E13" s="70"/>
      <c r="F13" s="70"/>
      <c r="G13" s="60" t="s">
        <v>85</v>
      </c>
    </row>
    <row r="14" spans="1:7">
      <c r="A14" s="60" t="s">
        <v>99</v>
      </c>
      <c r="B14" s="57" t="s">
        <v>100</v>
      </c>
      <c r="C14" s="70">
        <v>2.84</v>
      </c>
      <c r="D14" s="70">
        <v>0</v>
      </c>
      <c r="E14" s="70"/>
      <c r="F14" s="70"/>
      <c r="G14" s="60" t="s">
        <v>85</v>
      </c>
    </row>
    <row r="15" spans="1:7">
      <c r="A15" s="60" t="s">
        <v>101</v>
      </c>
      <c r="B15" s="57" t="s">
        <v>100</v>
      </c>
      <c r="C15" s="70">
        <v>0</v>
      </c>
      <c r="D15" s="70">
        <v>0.33</v>
      </c>
      <c r="E15" s="70"/>
      <c r="F15" s="70"/>
      <c r="G15" s="60" t="s">
        <v>85</v>
      </c>
    </row>
    <row r="16" spans="1:7">
      <c r="A16" s="60" t="s">
        <v>102</v>
      </c>
      <c r="B16" s="57" t="s">
        <v>29</v>
      </c>
      <c r="C16" s="70">
        <v>6967.35</v>
      </c>
      <c r="D16" s="70">
        <v>5254.77</v>
      </c>
      <c r="E16" s="70"/>
      <c r="F16" s="70"/>
      <c r="G16" s="60" t="s">
        <v>103</v>
      </c>
    </row>
    <row r="17" spans="1:7">
      <c r="A17" s="60" t="s">
        <v>104</v>
      </c>
      <c r="B17" s="57" t="s">
        <v>82</v>
      </c>
      <c r="C17" s="70">
        <v>738.4</v>
      </c>
      <c r="D17" s="70">
        <v>738.4</v>
      </c>
      <c r="E17" s="70"/>
      <c r="F17" s="70"/>
      <c r="G17" s="60"/>
    </row>
    <row r="18" spans="1:7">
      <c r="A18" s="60" t="s">
        <v>105</v>
      </c>
      <c r="B18" s="57" t="s">
        <v>82</v>
      </c>
      <c r="C18" s="70">
        <v>0</v>
      </c>
      <c r="D18" s="70">
        <v>0</v>
      </c>
      <c r="E18" s="70"/>
      <c r="F18" s="70"/>
      <c r="G18" s="60" t="s">
        <v>106</v>
      </c>
    </row>
    <row r="19" spans="1:7">
      <c r="A19" s="60" t="s">
        <v>107</v>
      </c>
      <c r="B19" s="57" t="s">
        <v>87</v>
      </c>
      <c r="C19" s="70">
        <v>28003.759999999998</v>
      </c>
      <c r="D19" s="70">
        <v>28011.02</v>
      </c>
      <c r="E19" s="70"/>
      <c r="F19" s="70"/>
      <c r="G19" s="60" t="s">
        <v>85</v>
      </c>
    </row>
    <row r="20" spans="1:7">
      <c r="A20" s="60" t="s">
        <v>108</v>
      </c>
      <c r="B20" s="57" t="s">
        <v>87</v>
      </c>
      <c r="C20" s="70">
        <v>0</v>
      </c>
      <c r="D20" s="70">
        <v>321.86</v>
      </c>
      <c r="E20" s="70"/>
      <c r="F20" s="70"/>
      <c r="G20" s="60" t="s">
        <v>95</v>
      </c>
    </row>
    <row r="21" spans="1:7">
      <c r="A21" s="60" t="s">
        <v>109</v>
      </c>
      <c r="B21" s="57" t="s">
        <v>87</v>
      </c>
      <c r="C21" s="70">
        <v>2636.47</v>
      </c>
      <c r="D21" s="70">
        <v>2627.51</v>
      </c>
      <c r="E21" s="70"/>
      <c r="F21" s="70"/>
      <c r="G21" s="60" t="s">
        <v>85</v>
      </c>
    </row>
    <row r="22" spans="1:7">
      <c r="A22" s="60" t="s">
        <v>110</v>
      </c>
      <c r="B22" s="57" t="s">
        <v>92</v>
      </c>
      <c r="C22" s="70">
        <v>2505.73</v>
      </c>
      <c r="D22" s="70">
        <v>2454.29</v>
      </c>
      <c r="E22" s="70"/>
      <c r="F22" s="70"/>
      <c r="G22" s="60" t="s">
        <v>85</v>
      </c>
    </row>
    <row r="23" spans="1:7">
      <c r="A23" s="60" t="s">
        <v>111</v>
      </c>
      <c r="B23" s="57" t="s">
        <v>92</v>
      </c>
      <c r="C23" s="70">
        <v>0</v>
      </c>
      <c r="D23" s="70">
        <v>30.69</v>
      </c>
      <c r="E23" s="70"/>
      <c r="F23" s="70"/>
      <c r="G23" s="60" t="s">
        <v>95</v>
      </c>
    </row>
    <row r="24" spans="1:7">
      <c r="A24" s="60" t="s">
        <v>112</v>
      </c>
      <c r="B24" s="57" t="s">
        <v>92</v>
      </c>
      <c r="C24" s="70">
        <v>315.57</v>
      </c>
      <c r="D24" s="70">
        <v>314.41000000000003</v>
      </c>
      <c r="E24" s="70"/>
      <c r="F24" s="70"/>
      <c r="G24" s="60" t="s">
        <v>85</v>
      </c>
    </row>
    <row r="25" spans="1:7">
      <c r="A25" s="60" t="s">
        <v>113</v>
      </c>
      <c r="B25" s="57" t="s">
        <v>87</v>
      </c>
      <c r="C25" s="70">
        <v>0</v>
      </c>
      <c r="D25" s="70">
        <v>423.91</v>
      </c>
      <c r="E25" s="70"/>
      <c r="F25" s="70"/>
      <c r="G25" s="60" t="s">
        <v>95</v>
      </c>
    </row>
    <row r="26" spans="1:7">
      <c r="A26" s="60" t="s">
        <v>114</v>
      </c>
      <c r="B26" s="57" t="s">
        <v>87</v>
      </c>
      <c r="C26" s="70">
        <v>7040.52</v>
      </c>
      <c r="D26" s="70">
        <v>7049.48</v>
      </c>
      <c r="E26" s="70"/>
      <c r="F26" s="70"/>
      <c r="G26" s="60" t="s">
        <v>85</v>
      </c>
    </row>
    <row r="27" spans="1:7">
      <c r="A27" s="60" t="s">
        <v>115</v>
      </c>
      <c r="B27" s="57" t="s">
        <v>92</v>
      </c>
      <c r="C27" s="70">
        <v>3077.94</v>
      </c>
      <c r="D27" s="70">
        <v>3056.94</v>
      </c>
      <c r="E27" s="70"/>
      <c r="F27" s="70"/>
      <c r="G27" s="60" t="s">
        <v>116</v>
      </c>
    </row>
    <row r="28" spans="1:7" ht="28.8">
      <c r="A28" s="60" t="s">
        <v>117</v>
      </c>
      <c r="B28" s="57" t="s">
        <v>118</v>
      </c>
      <c r="C28" s="70">
        <f>(C6*'Economic Assumptions'!D29)/10</f>
        <v>4099.5968000000003</v>
      </c>
      <c r="D28" s="70">
        <f>(D6*'Economic Assumptions'!D29)/10</f>
        <v>4099.5968000000003</v>
      </c>
      <c r="E28" s="70"/>
      <c r="F28" s="70"/>
      <c r="G28" s="60" t="s">
        <v>119</v>
      </c>
    </row>
    <row r="29" spans="1:7">
      <c r="A29" s="60" t="s">
        <v>120</v>
      </c>
      <c r="B29" s="57" t="s">
        <v>92</v>
      </c>
      <c r="C29" s="71">
        <f>'Annualized Costs'!B21</f>
        <v>18661.92581353278</v>
      </c>
      <c r="D29" s="71">
        <f>'Annualized Costs'!C21</f>
        <v>18413.87180099374</v>
      </c>
      <c r="E29" s="71"/>
      <c r="F29" s="71"/>
      <c r="G29" s="60" t="s">
        <v>121</v>
      </c>
    </row>
    <row r="30" spans="1:7">
      <c r="A30" s="60" t="s">
        <v>122</v>
      </c>
      <c r="B30" s="57" t="s">
        <v>92</v>
      </c>
      <c r="C30" s="71">
        <f>'Annualized Costs'!B22</f>
        <v>15583.98581353278</v>
      </c>
      <c r="D30" s="71">
        <f>'Annualized Costs'!C22</f>
        <v>15356.93180099374</v>
      </c>
      <c r="E30" s="71"/>
      <c r="F30" s="71"/>
      <c r="G30" s="60" t="s">
        <v>123</v>
      </c>
    </row>
    <row r="36" spans="2:4">
      <c r="B36" s="72"/>
      <c r="C36" s="72"/>
      <c r="D36" s="72"/>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selection activeCell="F27" sqref="A1:XFD1048576"/>
    </sheetView>
  </sheetViews>
  <sheetFormatPr defaultColWidth="8.69921875" defaultRowHeight="14.4"/>
  <cols>
    <col min="1" max="1" width="34" style="1" customWidth="1"/>
    <col min="2" max="3" width="16" style="1" customWidth="1"/>
    <col min="4" max="5" width="16" style="1" hidden="1" customWidth="1"/>
    <col min="6" max="6" width="48" style="1" customWidth="1"/>
    <col min="7" max="16384" width="8.69921875" style="1"/>
  </cols>
  <sheetData>
    <row r="1" spans="1:6" ht="17.7" customHeight="1">
      <c r="A1" s="44" t="s">
        <v>124</v>
      </c>
      <c r="B1" s="44"/>
      <c r="C1" s="44"/>
      <c r="D1" s="44"/>
      <c r="E1" s="44"/>
      <c r="F1" s="44"/>
    </row>
    <row r="3" spans="1:6">
      <c r="A3" s="10" t="s">
        <v>125</v>
      </c>
      <c r="B3" s="10" t="s">
        <v>73</v>
      </c>
      <c r="C3" s="10" t="s">
        <v>74</v>
      </c>
      <c r="D3" s="10"/>
      <c r="E3" s="10"/>
      <c r="F3" s="10" t="s">
        <v>126</v>
      </c>
    </row>
    <row r="4" spans="1:6">
      <c r="A4" s="1" t="s">
        <v>127</v>
      </c>
      <c r="B4" s="12">
        <f>'Economic Assumptions'!$D$7*('Economic Assumptions'!$D$4*(1+'Economic Assumptions'!$D$4)^'Economic Assumptions'!$D$8/((1+'Economic Assumptions'!$D$4)^'Economic Assumptions'!$D$8-1))</f>
        <v>4693.6030927364372</v>
      </c>
      <c r="C4" s="12">
        <f>'Economic Assumptions'!$D$7*('Economic Assumptions'!$D$4*(1+'Economic Assumptions'!$D$4)^'Economic Assumptions'!$D$8/((1+'Economic Assumptions'!$D$4)^'Economic Assumptions'!$D$8-1))</f>
        <v>4693.6030927364372</v>
      </c>
      <c r="D4" s="12"/>
      <c r="E4" s="12"/>
      <c r="F4" s="7" t="s">
        <v>128</v>
      </c>
    </row>
    <row r="5" spans="1:6">
      <c r="A5" s="1" t="s">
        <v>129</v>
      </c>
      <c r="B5" s="12">
        <f>'Economic Assumptions'!$D$13*('Economic Assumptions'!$D$4*(1+'Economic Assumptions'!$D$4)^'Economic Assumptions'!$D$14/((1+'Economic Assumptions'!$D$4)^'Economic Assumptions'!$D$14-1))</f>
        <v>5231.073418611084</v>
      </c>
      <c r="C5" s="12">
        <f>'Economic Assumptions'!$D$13*('Economic Assumptions'!$D$4*(1+'Economic Assumptions'!$D$4)^'Economic Assumptions'!$D$14/((1+'Economic Assumptions'!$D$4)^'Economic Assumptions'!$D$14-1))</f>
        <v>5231.073418611084</v>
      </c>
      <c r="D5" s="12"/>
      <c r="E5" s="12"/>
      <c r="F5" s="7" t="s">
        <v>130</v>
      </c>
    </row>
    <row r="6" spans="1:6">
      <c r="A6" s="1" t="s">
        <v>131</v>
      </c>
      <c r="B6" s="12">
        <f>0*('Economic Assumptions'!$D$19*('Economic Assumptions'!$D$4*(1+'Economic Assumptions'!$D$4)^'Economic Assumptions'!$D$20/((1+'Economic Assumptions'!$D$4)^'Economic Assumptions'!$D$20-1)))</f>
        <v>0</v>
      </c>
      <c r="C6" s="12">
        <f>1*('Economic Assumptions'!$D$19*('Economic Assumptions'!$D$4*(1+'Economic Assumptions'!$D$4)^'Economic Assumptions'!$D$20/((1+'Economic Assumptions'!$D$4)^'Economic Assumptions'!$D$20-1)))</f>
        <v>1029.6276395531263</v>
      </c>
      <c r="D6" s="12"/>
      <c r="E6" s="12"/>
      <c r="F6" s="7" t="s">
        <v>132</v>
      </c>
    </row>
    <row r="7" spans="1:6">
      <c r="A7" s="1" t="s">
        <v>133</v>
      </c>
      <c r="B7" s="12">
        <f>'Case Inputs'!C12*'Economic Assumptions'!$D$23</f>
        <v>6960</v>
      </c>
      <c r="C7" s="12">
        <f>'Case Inputs'!D12*'Economic Assumptions'!$D$23</f>
        <v>0</v>
      </c>
      <c r="D7" s="12"/>
      <c r="E7" s="12"/>
      <c r="F7" s="7" t="s">
        <v>134</v>
      </c>
    </row>
    <row r="8" spans="1:6">
      <c r="A8" s="1" t="s">
        <v>135</v>
      </c>
      <c r="B8" s="12">
        <f>'Case Inputs'!C13*'Economic Assumptions'!$D$24</f>
        <v>0</v>
      </c>
      <c r="C8" s="12">
        <f>'Case Inputs'!D13*'Economic Assumptions'!$D$24</f>
        <v>5251.5839999999998</v>
      </c>
      <c r="D8" s="12"/>
      <c r="E8" s="12"/>
      <c r="F8" s="7" t="s">
        <v>136</v>
      </c>
    </row>
    <row r="9" spans="1:6">
      <c r="A9" s="1" t="s">
        <v>137</v>
      </c>
      <c r="B9" s="12">
        <f>B7*('Economic Assumptions'!$D$4*(1+'Economic Assumptions'!$D$4)^'Economic Assumptions'!$D$25/((1+'Economic Assumptions'!$D$4)^'Economic Assumptions'!$D$25-1))</f>
        <v>606.80451655888578</v>
      </c>
      <c r="C9" s="12">
        <f>C7*('Economic Assumptions'!$D$4*(1+'Economic Assumptions'!$D$4)^'Economic Assumptions'!$D$25/((1+'Economic Assumptions'!$D$4)^'Economic Assumptions'!$D$25-1))</f>
        <v>0</v>
      </c>
      <c r="D9" s="12"/>
      <c r="E9" s="12"/>
      <c r="F9" s="7" t="s">
        <v>138</v>
      </c>
    </row>
    <row r="10" spans="1:6">
      <c r="A10" s="1" t="s">
        <v>139</v>
      </c>
      <c r="B10" s="12">
        <f>B8*('Economic Assumptions'!$D$4*(1+'Economic Assumptions'!$D$4)^'Economic Assumptions'!$D$25/((1+'Economic Assumptions'!$D$4)^'Economic Assumptions'!$D$25-1))</f>
        <v>0</v>
      </c>
      <c r="C10" s="12">
        <f>C8*('Economic Assumptions'!$D$4*(1+'Economic Assumptions'!$D$4)^'Economic Assumptions'!$D$25/((1+'Economic Assumptions'!$D$4)^'Economic Assumptions'!$D$25-1))</f>
        <v>457.85702446672116</v>
      </c>
      <c r="D10" s="12"/>
      <c r="E10" s="12"/>
      <c r="F10" s="7" t="s">
        <v>140</v>
      </c>
    </row>
    <row r="11" spans="1:6">
      <c r="A11" s="1" t="s">
        <v>141</v>
      </c>
      <c r="B11" s="12">
        <f>'Economic Assumptions'!$D$7*'Economic Assumptions'!$D$9</f>
        <v>3000</v>
      </c>
      <c r="C11" s="12">
        <f>'Economic Assumptions'!$D$7*'Economic Assumptions'!$D$9</f>
        <v>3000</v>
      </c>
      <c r="D11" s="12"/>
      <c r="E11" s="12"/>
      <c r="F11" s="7" t="s">
        <v>142</v>
      </c>
    </row>
    <row r="12" spans="1:6">
      <c r="A12" s="1" t="s">
        <v>143</v>
      </c>
      <c r="B12" s="12">
        <f>'Economic Assumptions'!$D$13*'Economic Assumptions'!$D$15</f>
        <v>1200</v>
      </c>
      <c r="C12" s="12">
        <f>'Economic Assumptions'!$D$13*'Economic Assumptions'!$D$15</f>
        <v>1200</v>
      </c>
      <c r="D12" s="12"/>
      <c r="E12" s="12"/>
      <c r="F12" s="7" t="s">
        <v>144</v>
      </c>
    </row>
    <row r="13" spans="1:6">
      <c r="A13" s="1" t="s">
        <v>145</v>
      </c>
      <c r="B13" s="12">
        <f>0*'Economic Assumptions'!$D$19*'Economic Assumptions'!$D$21</f>
        <v>0</v>
      </c>
      <c r="C13" s="12">
        <f>1*'Economic Assumptions'!$D$19*'Economic Assumptions'!$D$21</f>
        <v>400</v>
      </c>
      <c r="D13" s="12"/>
      <c r="E13" s="12"/>
      <c r="F13" s="7" t="s">
        <v>146</v>
      </c>
    </row>
    <row r="14" spans="1:6">
      <c r="A14" s="1" t="s">
        <v>147</v>
      </c>
      <c r="B14" s="12">
        <f>(B7+B8)*'Economic Assumptions'!$D$26</f>
        <v>69.600000000000009</v>
      </c>
      <c r="C14" s="12">
        <f>(C7+C8)*'Economic Assumptions'!$D$26</f>
        <v>52.515839999999997</v>
      </c>
      <c r="D14" s="12"/>
      <c r="E14" s="12"/>
      <c r="F14" s="7" t="s">
        <v>148</v>
      </c>
    </row>
    <row r="15" spans="1:6">
      <c r="A15" s="1" t="s">
        <v>149</v>
      </c>
      <c r="B15" s="12">
        <f>'Economic Assumptions'!D17/'Case Inputs'!C28</f>
        <v>14.63558562637184</v>
      </c>
      <c r="C15" s="12">
        <f>'Economic Assumptions'!D17/'Case Inputs'!D28</f>
        <v>14.63558562637184</v>
      </c>
      <c r="D15" s="12"/>
      <c r="E15" s="12"/>
      <c r="F15" s="7" t="s">
        <v>150</v>
      </c>
    </row>
    <row r="16" spans="1:6">
      <c r="A16" s="1" t="s">
        <v>151</v>
      </c>
      <c r="B16" s="12">
        <f>IF('Case Inputs'!C28&gt;0,'Economic Assumptions'!$D$13*'Economic Assumptions'!$D$16*'Case Inputs'!C28/'Economic Assumptions'!$D$17,IF('Case Inputs'!C6=0,0,'Economic Assumptions'!$D$13*'Economic Assumptions'!$D$16*('Case Inputs'!C6*'Economic Assumptions'!$D$29/10)/'Economic Assumptions'!$D$17))</f>
        <v>1024.8992000000001</v>
      </c>
      <c r="C16" s="12">
        <f>IF('Case Inputs'!D28&gt;0,'Economic Assumptions'!$D$13*'Economic Assumptions'!$D$16*'Case Inputs'!D28/'Economic Assumptions'!$D$17,IF('Case Inputs'!D6=0,0,'Economic Assumptions'!$D$13*'Economic Assumptions'!$D$16*('Case Inputs'!D6*'Economic Assumptions'!$D$29/10)/'Economic Assumptions'!$D$17))</f>
        <v>1024.8992000000001</v>
      </c>
      <c r="D16" s="12"/>
      <c r="E16" s="12"/>
      <c r="F16" s="7" t="s">
        <v>152</v>
      </c>
    </row>
    <row r="17" spans="1:6">
      <c r="A17" s="1" t="s">
        <v>153</v>
      </c>
      <c r="B17" s="12">
        <f>'Case Inputs'!C10</f>
        <v>2821.31</v>
      </c>
      <c r="C17" s="12">
        <f>'Case Inputs'!D10</f>
        <v>1309.6600000000001</v>
      </c>
      <c r="D17" s="12"/>
      <c r="E17" s="12"/>
      <c r="F17" s="7" t="s">
        <v>154</v>
      </c>
    </row>
    <row r="18" spans="1:6">
      <c r="A18" s="13" t="s">
        <v>115</v>
      </c>
      <c r="B18" s="14">
        <f>'Case Inputs'!C27</f>
        <v>3077.94</v>
      </c>
      <c r="C18" s="14">
        <f>'Case Inputs'!D27</f>
        <v>3056.94</v>
      </c>
      <c r="D18" s="14"/>
      <c r="E18" s="14"/>
      <c r="F18" s="7" t="s">
        <v>155</v>
      </c>
    </row>
    <row r="19" spans="1:6">
      <c r="A19" s="15" t="s">
        <v>156</v>
      </c>
      <c r="B19" s="16">
        <f>SUM(B4:B6,B9:B10)</f>
        <v>10531.481027906408</v>
      </c>
      <c r="C19" s="16">
        <f>SUM(C4:C6,C9:C10)</f>
        <v>11412.161175367368</v>
      </c>
      <c r="D19" s="16"/>
      <c r="E19" s="16"/>
      <c r="F19" s="17" t="s">
        <v>157</v>
      </c>
    </row>
    <row r="20" spans="1:6">
      <c r="A20" s="13" t="s">
        <v>158</v>
      </c>
      <c r="B20" s="14">
        <f>SUM(B11:B17)</f>
        <v>8130.4447856263723</v>
      </c>
      <c r="C20" s="14">
        <f>SUM(C11:C17)</f>
        <v>7001.7106256263714</v>
      </c>
      <c r="D20" s="14"/>
      <c r="E20" s="14"/>
      <c r="F20" s="7" t="s">
        <v>159</v>
      </c>
    </row>
    <row r="21" spans="1:6">
      <c r="A21" s="15" t="s">
        <v>120</v>
      </c>
      <c r="B21" s="16">
        <f>B19+B20</f>
        <v>18661.92581353278</v>
      </c>
      <c r="C21" s="16">
        <f>C19+C20</f>
        <v>18413.87180099374</v>
      </c>
      <c r="D21" s="16"/>
      <c r="E21" s="16"/>
      <c r="F21" s="17" t="s">
        <v>160</v>
      </c>
    </row>
    <row r="22" spans="1:6">
      <c r="A22" s="15" t="s">
        <v>122</v>
      </c>
      <c r="B22" s="16">
        <f>B21-B18</f>
        <v>15583.98581353278</v>
      </c>
      <c r="C22" s="16">
        <f>C21-C18</f>
        <v>15356.93180099374</v>
      </c>
      <c r="D22" s="16"/>
      <c r="E22" s="16"/>
      <c r="F22" s="17" t="s">
        <v>161</v>
      </c>
    </row>
  </sheetData>
  <mergeCells count="1">
    <mergeCell ref="A1:F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election activeCell="C25" sqref="A1:XFD1048576"/>
    </sheetView>
  </sheetViews>
  <sheetFormatPr defaultColWidth="8.69921875" defaultRowHeight="14.4"/>
  <cols>
    <col min="1" max="1" width="44" style="1" customWidth="1"/>
    <col min="2" max="3" width="16" style="1" customWidth="1"/>
    <col min="4" max="5" width="16" style="1" hidden="1" customWidth="1"/>
    <col min="6" max="16384" width="8.69921875" style="1"/>
  </cols>
  <sheetData>
    <row r="1" spans="1:6" ht="18.75" customHeight="1">
      <c r="A1" s="44" t="s">
        <v>284</v>
      </c>
      <c r="B1" s="44"/>
      <c r="C1" s="44"/>
      <c r="D1" s="44"/>
      <c r="E1" s="44"/>
    </row>
    <row r="2" spans="1:6" ht="10.5" customHeight="1">
      <c r="A2" s="43"/>
      <c r="B2" s="43"/>
      <c r="C2" s="43"/>
      <c r="D2" s="43"/>
      <c r="E2" s="43"/>
    </row>
    <row r="3" spans="1:6">
      <c r="A3" s="10" t="s">
        <v>162</v>
      </c>
      <c r="B3" s="10" t="s">
        <v>73</v>
      </c>
      <c r="C3" s="10" t="s">
        <v>74</v>
      </c>
      <c r="D3" s="10"/>
      <c r="E3" s="10"/>
    </row>
    <row r="4" spans="1:6">
      <c r="A4" s="1" t="s">
        <v>163</v>
      </c>
      <c r="B4" s="12">
        <f>'Case Inputs'!C6</f>
        <v>738.4</v>
      </c>
      <c r="C4" s="12">
        <f>'Case Inputs'!D6</f>
        <v>738.4</v>
      </c>
      <c r="D4" s="12"/>
      <c r="E4" s="12"/>
    </row>
    <row r="5" spans="1:6">
      <c r="A5" s="1" t="s">
        <v>164</v>
      </c>
      <c r="B5" s="12">
        <f>'Case Inputs'!C17</f>
        <v>738.4</v>
      </c>
      <c r="C5" s="12">
        <f>'Case Inputs'!D17</f>
        <v>738.4</v>
      </c>
      <c r="D5" s="12"/>
      <c r="E5" s="12"/>
    </row>
    <row r="6" spans="1:6">
      <c r="A6" s="1" t="s">
        <v>165</v>
      </c>
      <c r="B6" s="12">
        <f>'Annualized Costs'!B4/B4</f>
        <v>6.356450558960506</v>
      </c>
      <c r="C6" s="12">
        <f>'Annualized Costs'!C4/C4</f>
        <v>6.356450558960506</v>
      </c>
      <c r="D6" s="12"/>
      <c r="E6" s="12"/>
    </row>
    <row r="7" spans="1:6">
      <c r="A7" s="1" t="s">
        <v>166</v>
      </c>
      <c r="B7" s="12">
        <f>'Annualized Costs'!B5/B4</f>
        <v>7.084335615670482</v>
      </c>
      <c r="C7" s="12">
        <f>'Annualized Costs'!C5/C4</f>
        <v>7.084335615670482</v>
      </c>
      <c r="D7" s="12"/>
      <c r="E7" s="12"/>
    </row>
    <row r="8" spans="1:6">
      <c r="A8" s="1" t="s">
        <v>167</v>
      </c>
      <c r="B8" s="12">
        <f>'Annualized Costs'!B6/B4</f>
        <v>0</v>
      </c>
      <c r="C8" s="12">
        <f>'Annualized Costs'!C6/C4</f>
        <v>1.3944036288639305</v>
      </c>
      <c r="D8" s="12"/>
      <c r="E8" s="12"/>
    </row>
    <row r="9" spans="1:6">
      <c r="A9" s="1" t="s">
        <v>168</v>
      </c>
      <c r="B9" s="12">
        <f>'Annualized Costs'!B9/B4</f>
        <v>0.82178293141777603</v>
      </c>
      <c r="C9" s="12">
        <f>'Annualized Costs'!C9/C4</f>
        <v>0</v>
      </c>
      <c r="D9" s="12"/>
      <c r="E9" s="12"/>
    </row>
    <row r="10" spans="1:6">
      <c r="A10" s="1" t="s">
        <v>169</v>
      </c>
      <c r="B10" s="12">
        <f>'Annualized Costs'!B10/B4</f>
        <v>0</v>
      </c>
      <c r="C10" s="12">
        <f>'Annualized Costs'!C10/C4</f>
        <v>0.62006639283142084</v>
      </c>
      <c r="D10" s="12"/>
      <c r="E10" s="12"/>
    </row>
    <row r="11" spans="1:6">
      <c r="A11" s="1" t="s">
        <v>170</v>
      </c>
      <c r="B11" s="12">
        <f>SUM('Annualized Costs'!B11:B16)/B4</f>
        <v>7.1900525265795938</v>
      </c>
      <c r="C11" s="12">
        <f>SUM('Annualized Costs'!C11:C16)/C4</f>
        <v>7.7086276078363651</v>
      </c>
      <c r="D11" s="12"/>
      <c r="E11" s="12"/>
    </row>
    <row r="12" spans="1:6">
      <c r="A12" s="1" t="s">
        <v>171</v>
      </c>
      <c r="B12" s="12">
        <f>'Annualized Costs'!B17/B4</f>
        <v>3.8208423618634888</v>
      </c>
      <c r="C12" s="12">
        <f>'Annualized Costs'!C17/C4</f>
        <v>1.7736457204767067</v>
      </c>
      <c r="D12" s="12"/>
      <c r="E12" s="12"/>
    </row>
    <row r="13" spans="1:6">
      <c r="A13" s="1" t="s">
        <v>172</v>
      </c>
      <c r="B13" s="12">
        <f>'Annualized Costs'!B18/B4</f>
        <v>4.1683911159263278</v>
      </c>
      <c r="C13" s="12">
        <f>'Annualized Costs'!C18/C4</f>
        <v>4.1399512459371612</v>
      </c>
      <c r="D13" s="12"/>
      <c r="E13" s="12"/>
    </row>
    <row r="14" spans="1:6">
      <c r="A14" s="41" t="s">
        <v>173</v>
      </c>
      <c r="B14" s="42">
        <f>'Annualized Costs'!B21/B4</f>
        <v>25.273463994491848</v>
      </c>
      <c r="C14" s="42">
        <f>'Annualized Costs'!C21/C4</f>
        <v>24.937529524639409</v>
      </c>
      <c r="D14" s="18"/>
      <c r="E14" s="18"/>
      <c r="F14" s="1" t="s">
        <v>174</v>
      </c>
    </row>
    <row r="15" spans="1:6">
      <c r="A15" s="41" t="s">
        <v>175</v>
      </c>
      <c r="B15" s="42">
        <f>'Annualized Costs'!B22/B4</f>
        <v>21.105072878565519</v>
      </c>
      <c r="C15" s="42">
        <f>'Annualized Costs'!C22/C4</f>
        <v>20.797578278702247</v>
      </c>
      <c r="D15" s="18"/>
      <c r="E15" s="18"/>
      <c r="F15" s="1" t="s">
        <v>176</v>
      </c>
    </row>
    <row r="16" spans="1:6">
      <c r="A16" s="1" t="s">
        <v>177</v>
      </c>
      <c r="B16" s="9">
        <f>'Annualized Costs'!B21</f>
        <v>18661.92581353278</v>
      </c>
      <c r="C16" s="9">
        <f>'Annualized Costs'!C21</f>
        <v>18413.87180099374</v>
      </c>
      <c r="D16" s="40"/>
      <c r="E16" s="40"/>
    </row>
    <row r="17" spans="1:5">
      <c r="A17" s="1" t="s">
        <v>178</v>
      </c>
      <c r="B17" s="9">
        <f>'Annualized Costs'!B22</f>
        <v>15583.98581353278</v>
      </c>
      <c r="C17" s="9">
        <f>'Annualized Costs'!C22</f>
        <v>15356.93180099374</v>
      </c>
      <c r="D17" s="40"/>
      <c r="E17" s="40"/>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50"/>
  <sheetViews>
    <sheetView topLeftCell="K1" workbookViewId="0">
      <selection activeCell="D3" sqref="D3"/>
    </sheetView>
  </sheetViews>
  <sheetFormatPr defaultColWidth="8.69921875" defaultRowHeight="14.4"/>
  <cols>
    <col min="1" max="1" width="24" style="1" customWidth="1"/>
    <col min="2" max="2" width="14" style="1" customWidth="1"/>
    <col min="3" max="5" width="11" style="1" customWidth="1"/>
    <col min="6" max="7" width="13" style="1" customWidth="1"/>
    <col min="8" max="9" width="12" style="1" customWidth="1"/>
    <col min="10" max="11" width="13" style="1" customWidth="1"/>
    <col min="12" max="12" width="9" style="1" customWidth="1"/>
    <col min="13" max="13" width="30" style="1" customWidth="1"/>
    <col min="14" max="14" width="8.69921875" style="1"/>
    <col min="15" max="15" width="19.3984375" style="1" customWidth="1"/>
    <col min="16" max="16384" width="8.69921875" style="1"/>
  </cols>
  <sheetData>
    <row r="1" spans="1:38" ht="24" customHeight="1">
      <c r="A1" s="92" t="s">
        <v>289</v>
      </c>
      <c r="B1" s="47"/>
      <c r="C1" s="47"/>
      <c r="D1" s="47"/>
      <c r="E1" s="47"/>
      <c r="F1" s="47"/>
      <c r="G1" s="47"/>
      <c r="H1" s="47"/>
      <c r="I1" s="47"/>
      <c r="J1" s="47"/>
      <c r="K1" s="47"/>
      <c r="L1" s="47"/>
      <c r="M1" s="47"/>
      <c r="O1" s="48" t="s">
        <v>179</v>
      </c>
      <c r="P1" s="47"/>
      <c r="Q1" s="47"/>
      <c r="R1" s="47"/>
      <c r="S1" s="47"/>
      <c r="T1" s="47"/>
      <c r="U1" s="47"/>
      <c r="V1" s="47"/>
      <c r="W1" s="47"/>
      <c r="X1" s="47"/>
      <c r="Y1" s="47"/>
      <c r="Z1" s="47"/>
      <c r="AA1" s="47"/>
      <c r="AB1" s="47"/>
      <c r="AC1" s="47"/>
      <c r="AD1" s="47"/>
      <c r="AE1" s="47"/>
      <c r="AF1" s="47"/>
      <c r="AG1" s="47"/>
      <c r="AH1" s="47"/>
      <c r="AI1" s="47"/>
      <c r="AJ1" s="47"/>
      <c r="AK1" s="47"/>
      <c r="AL1" s="47"/>
    </row>
    <row r="2" spans="1:38" ht="28.8">
      <c r="A2" s="13" t="s">
        <v>180</v>
      </c>
      <c r="B2" s="50" t="s">
        <v>181</v>
      </c>
      <c r="C2" s="50"/>
      <c r="O2" s="32" t="s">
        <v>182</v>
      </c>
      <c r="P2" s="32" t="s">
        <v>183</v>
      </c>
      <c r="Q2" s="32" t="s">
        <v>184</v>
      </c>
      <c r="R2" s="32" t="s">
        <v>185</v>
      </c>
      <c r="S2" s="32" t="s">
        <v>186</v>
      </c>
      <c r="T2" s="32" t="s">
        <v>141</v>
      </c>
      <c r="U2" s="32" t="s">
        <v>187</v>
      </c>
      <c r="V2" s="32" t="s">
        <v>188</v>
      </c>
      <c r="W2" s="32" t="s">
        <v>189</v>
      </c>
      <c r="X2" s="32" t="s">
        <v>190</v>
      </c>
      <c r="Y2" s="32" t="s">
        <v>48</v>
      </c>
      <c r="Z2" s="32" t="s">
        <v>191</v>
      </c>
      <c r="AA2" s="32" t="s">
        <v>192</v>
      </c>
      <c r="AB2" s="32" t="s">
        <v>193</v>
      </c>
      <c r="AC2" s="32" t="s">
        <v>194</v>
      </c>
      <c r="AD2" s="32" t="s">
        <v>195</v>
      </c>
      <c r="AE2" s="32" t="s">
        <v>196</v>
      </c>
      <c r="AF2" s="32" t="s">
        <v>147</v>
      </c>
      <c r="AG2" s="32" t="s">
        <v>197</v>
      </c>
      <c r="AH2" s="32" t="s">
        <v>198</v>
      </c>
      <c r="AI2" s="32" t="s">
        <v>199</v>
      </c>
      <c r="AJ2" s="32" t="s">
        <v>200</v>
      </c>
      <c r="AK2" s="32" t="s">
        <v>201</v>
      </c>
      <c r="AL2" s="32" t="s">
        <v>202</v>
      </c>
    </row>
    <row r="3" spans="1:38">
      <c r="A3" s="1" t="s">
        <v>203</v>
      </c>
      <c r="B3" s="33" t="s">
        <v>73</v>
      </c>
      <c r="O3" s="1">
        <f>MATCH($B$3,'Case Inputs'!$C$3:$D$3,0)</f>
        <v>1</v>
      </c>
      <c r="P3" s="1">
        <f>INDEX('Case Inputs'!$C$6:$F$6,1,$O$3)</f>
        <v>738.4</v>
      </c>
      <c r="Q3" s="1">
        <f>INDEX('Annualized Costs'!$B$22:$E$22,1,$O$3)</f>
        <v>15583.98581353278</v>
      </c>
      <c r="R3" s="1">
        <f>'Economic Assumptions'!$D$7</f>
        <v>60000</v>
      </c>
      <c r="S3" s="1">
        <f>'Economic Assumptions'!$D$8</f>
        <v>25</v>
      </c>
      <c r="T3" s="1">
        <f>'Economic Assumptions'!$D$9</f>
        <v>0.05</v>
      </c>
      <c r="U3" s="1">
        <f>'Economic Assumptions'!$D$13</f>
        <v>60000</v>
      </c>
      <c r="V3" s="1">
        <f>'Economic Assumptions'!$D$14</f>
        <v>20</v>
      </c>
      <c r="W3" s="1">
        <f>'Economic Assumptions'!$D$15</f>
        <v>0.02</v>
      </c>
      <c r="X3" s="1">
        <f>'Economic Assumptions'!$D$16</f>
        <v>0.25</v>
      </c>
      <c r="Y3" s="1">
        <f>'Economic Assumptions'!$D$17</f>
        <v>60000</v>
      </c>
      <c r="Z3" s="1">
        <f>'Economic Assumptions'!$D$19</f>
        <v>10000</v>
      </c>
      <c r="AA3" s="1">
        <f>'Economic Assumptions'!$D$20</f>
        <v>15</v>
      </c>
      <c r="AB3" s="1">
        <f>'Economic Assumptions'!$D$21</f>
        <v>0.04</v>
      </c>
      <c r="AC3" s="1">
        <f>INDEX('Annualized Costs'!$B$7:$E$7,1,$O$3)</f>
        <v>6960</v>
      </c>
      <c r="AD3" s="1">
        <f>INDEX('Annualized Costs'!$B$8:$E$8,1,$O$3)</f>
        <v>0</v>
      </c>
      <c r="AE3" s="1">
        <f>'Economic Assumptions'!$D$25</f>
        <v>20</v>
      </c>
      <c r="AF3" s="1">
        <f>'Economic Assumptions'!$D$26</f>
        <v>0.01</v>
      </c>
      <c r="AG3" s="1">
        <f>INDEX('Case Inputs'!$C$10:$F$10,1,$O$3)</f>
        <v>2821.31</v>
      </c>
      <c r="AH3" s="1">
        <f>INDEX('Case Inputs'!$C$8:$F$8,1,$O$3)</f>
        <v>30640</v>
      </c>
      <c r="AI3" s="1">
        <f>INDEX('Case Inputs'!$C$11:$F$11,1,$O$3)</f>
        <v>0</v>
      </c>
      <c r="AJ3" s="1">
        <f>'Economic Assumptions'!$D$4</f>
        <v>0.06</v>
      </c>
      <c r="AK3" s="1">
        <v>55.52</v>
      </c>
      <c r="AL3" s="1">
        <v>1.01</v>
      </c>
    </row>
    <row r="4" spans="1:38">
      <c r="A4" s="1" t="s">
        <v>204</v>
      </c>
      <c r="B4" s="3">
        <f>INDEX('LCOH '!$B$15:$E$15,1,MATCH($B$3,'LCOH '!$B$3:$E$3,0))</f>
        <v>21.105072878565519</v>
      </c>
    </row>
    <row r="6" spans="1:38" ht="10.65" customHeight="1">
      <c r="A6" s="48" t="s">
        <v>205</v>
      </c>
      <c r="B6" s="47"/>
      <c r="C6" s="47"/>
      <c r="D6" s="47"/>
      <c r="E6" s="47"/>
      <c r="F6" s="47"/>
      <c r="G6" s="47"/>
      <c r="H6" s="47"/>
      <c r="I6" s="47"/>
      <c r="J6" s="47"/>
      <c r="K6" s="47"/>
      <c r="L6" s="47"/>
      <c r="M6" s="47"/>
      <c r="O6" s="48" t="s">
        <v>206</v>
      </c>
      <c r="P6" s="47"/>
      <c r="Q6" s="47"/>
      <c r="R6" s="47"/>
    </row>
    <row r="7" spans="1:38">
      <c r="A7" s="32" t="s">
        <v>17</v>
      </c>
      <c r="B7" s="32" t="s">
        <v>18</v>
      </c>
      <c r="C7" s="32" t="s">
        <v>207</v>
      </c>
      <c r="D7" s="32" t="s">
        <v>208</v>
      </c>
      <c r="E7" s="32" t="s">
        <v>209</v>
      </c>
      <c r="F7" s="32" t="s">
        <v>210</v>
      </c>
      <c r="G7" s="32" t="s">
        <v>211</v>
      </c>
      <c r="H7" s="32" t="s">
        <v>212</v>
      </c>
      <c r="I7" s="32" t="s">
        <v>213</v>
      </c>
      <c r="J7" s="32" t="s">
        <v>214</v>
      </c>
      <c r="K7" s="32" t="s">
        <v>215</v>
      </c>
      <c r="L7" s="32" t="s">
        <v>216</v>
      </c>
      <c r="M7" s="32" t="s">
        <v>217</v>
      </c>
      <c r="O7" s="32" t="s">
        <v>17</v>
      </c>
      <c r="P7" s="32" t="s">
        <v>212</v>
      </c>
      <c r="Q7" s="32" t="s">
        <v>213</v>
      </c>
      <c r="R7" s="32" t="s">
        <v>218</v>
      </c>
    </row>
    <row r="8" spans="1:38">
      <c r="A8" s="1" t="s">
        <v>219</v>
      </c>
      <c r="B8" s="1" t="s">
        <v>220</v>
      </c>
      <c r="C8" s="4">
        <v>1</v>
      </c>
      <c r="D8" s="34">
        <v>0.8</v>
      </c>
      <c r="E8" s="34">
        <v>1.2</v>
      </c>
      <c r="F8" s="5">
        <f>($Q$3-$AG$3+$AG$3*$D8)/$P$3</f>
        <v>20.340904406192823</v>
      </c>
      <c r="G8" s="5">
        <f>($Q$3-$AG$3+$AG$3*$E8)/$P$3</f>
        <v>21.869241350938218</v>
      </c>
      <c r="H8" s="5">
        <f t="shared" ref="H8:H19" si="0">F8-$B$4</f>
        <v>-0.76416847237269536</v>
      </c>
      <c r="I8" s="5">
        <f t="shared" ref="I8:I19" si="1">G8-$B$4</f>
        <v>0.76416847237269891</v>
      </c>
      <c r="J8" s="5">
        <f t="shared" ref="J8:J19" si="2">MIN(F8,G8)</f>
        <v>20.340904406192823</v>
      </c>
      <c r="K8" s="5">
        <f t="shared" ref="K8:K19" si="3">ABS(G8-F8)</f>
        <v>1.5283369447453943</v>
      </c>
      <c r="L8" s="6">
        <f t="shared" ref="L8:L19" si="4">RANK(K8,$K$8:$K$19,0)</f>
        <v>5</v>
      </c>
      <c r="M8" s="7" t="s">
        <v>221</v>
      </c>
      <c r="O8" s="1" t="str">
        <f>A14</f>
        <v>Discount rate</v>
      </c>
      <c r="P8" s="2">
        <f>H14</f>
        <v>-2.388582419710378</v>
      </c>
      <c r="Q8" s="2">
        <f>I14</f>
        <v>2.5856847481173411</v>
      </c>
      <c r="R8" s="2">
        <f>K14</f>
        <v>4.974267167827719</v>
      </c>
    </row>
    <row r="9" spans="1:38">
      <c r="A9" s="1" t="s">
        <v>222</v>
      </c>
      <c r="B9" s="1" t="s">
        <v>220</v>
      </c>
      <c r="C9" s="4">
        <v>1</v>
      </c>
      <c r="D9" s="34">
        <v>0.8</v>
      </c>
      <c r="E9" s="34">
        <v>1.2</v>
      </c>
      <c r="F9" s="5">
        <f>($Q$3-INDEX('Annualized Costs'!$B$4:$E$4,1,$O$3)-INDEX('Annualized Costs'!$B$11:$E$11,1,$O$3)+(INDEX('Annualized Costs'!$B$4:$E$4,1,$O$3)+INDEX('Annualized Costs'!$B$11:$E$11,1,$O$3))*$D9)/$P$3</f>
        <v>19.021215052797253</v>
      </c>
      <c r="G9" s="5">
        <f>($Q$3-INDEX('Annualized Costs'!$B$4:$E$4,1,$O$3)-INDEX('Annualized Costs'!$B$11:$E$11,1,$O$3)+(INDEX('Annualized Costs'!$B$4:$E$4,1,$O$3)+INDEX('Annualized Costs'!$B$11:$E$11,1,$O$3))*$E9)/$P$3</f>
        <v>23.188930704333785</v>
      </c>
      <c r="H9" s="5">
        <f t="shared" si="0"/>
        <v>-2.0838578257682663</v>
      </c>
      <c r="I9" s="5">
        <f t="shared" si="1"/>
        <v>2.0838578257682663</v>
      </c>
      <c r="J9" s="5">
        <f t="shared" si="2"/>
        <v>19.021215052797253</v>
      </c>
      <c r="K9" s="5">
        <f t="shared" si="3"/>
        <v>4.1677156515365326</v>
      </c>
      <c r="L9" s="6">
        <f t="shared" si="4"/>
        <v>2</v>
      </c>
      <c r="M9" s="7" t="s">
        <v>223</v>
      </c>
      <c r="O9" s="1" t="str">
        <f>A10</f>
        <v>Electrolyzer CAPEX</v>
      </c>
      <c r="P9" s="2">
        <f>H10</f>
        <v>-2.0194942087245593</v>
      </c>
      <c r="Q9" s="2">
        <f>I10</f>
        <v>2.0194942087245664</v>
      </c>
      <c r="R9" s="2">
        <f>K10</f>
        <v>4.0389884174491257</v>
      </c>
    </row>
    <row r="10" spans="1:38" ht="28.8">
      <c r="A10" s="1" t="s">
        <v>42</v>
      </c>
      <c r="B10" s="1" t="s">
        <v>220</v>
      </c>
      <c r="C10" s="4">
        <v>1</v>
      </c>
      <c r="D10" s="34">
        <v>0.8</v>
      </c>
      <c r="E10" s="34">
        <v>1.2</v>
      </c>
      <c r="F10" s="5">
        <f>($Q$3-SUM(INDEX('Annualized Costs'!$B$5:$E$5,1,$O$3),INDEX('Annualized Costs'!$B$12:$E$12,1,$O$3),INDEX('Annualized Costs'!$B$16:$E$16,1,$O$3))+SUM(INDEX('Annualized Costs'!$B$5:$E$5,1,$O$3),INDEX('Annualized Costs'!$B$12:$E$12,1,$O$3),INDEX('Annualized Costs'!$B$16:$E$16,1,$O$3))*$D10)/$P$3</f>
        <v>19.08557866984096</v>
      </c>
      <c r="G10" s="5">
        <f>($Q$3-SUM(INDEX('Annualized Costs'!$B$5:$E$5,1,$O$3),INDEX('Annualized Costs'!$B$12:$E$12,1,$O$3),INDEX('Annualized Costs'!$B$16:$E$16,1,$O$3))+SUM(INDEX('Annualized Costs'!$B$5:$E$5,1,$O$3),INDEX('Annualized Costs'!$B$12:$E$12,1,$O$3),INDEX('Annualized Costs'!$B$16:$E$16,1,$O$3))*$E10)/$P$3</f>
        <v>23.124567087290085</v>
      </c>
      <c r="H10" s="5">
        <f t="shared" si="0"/>
        <v>-2.0194942087245593</v>
      </c>
      <c r="I10" s="5">
        <f t="shared" si="1"/>
        <v>2.0194942087245664</v>
      </c>
      <c r="J10" s="5">
        <f t="shared" si="2"/>
        <v>19.08557866984096</v>
      </c>
      <c r="K10" s="5">
        <f t="shared" si="3"/>
        <v>4.0389884174491257</v>
      </c>
      <c r="L10" s="6">
        <f t="shared" si="4"/>
        <v>3</v>
      </c>
      <c r="M10" s="7" t="s">
        <v>224</v>
      </c>
      <c r="O10" s="1" t="str">
        <f>A9</f>
        <v>PV Investment CAPEX</v>
      </c>
      <c r="P10" s="2">
        <f>H9</f>
        <v>-2.0838578257682663</v>
      </c>
      <c r="Q10" s="2">
        <f>I9</f>
        <v>2.0838578257682663</v>
      </c>
      <c r="R10" s="2">
        <f>K9</f>
        <v>4.1677156515365326</v>
      </c>
    </row>
    <row r="11" spans="1:38">
      <c r="A11" s="1" t="s">
        <v>51</v>
      </c>
      <c r="B11" s="1" t="s">
        <v>220</v>
      </c>
      <c r="C11" s="4">
        <v>1</v>
      </c>
      <c r="D11" s="34">
        <v>0.8</v>
      </c>
      <c r="E11" s="34">
        <v>1.2</v>
      </c>
      <c r="F11" s="5">
        <f>($Q$3-SUM(INDEX('Annualized Costs'!$B$6:$E$6,1,$O$3),INDEX('Annualized Costs'!$B$13:$E$13,1,$O$3))+SUM(INDEX('Annualized Costs'!$B$6:$E$6,1,$O$3),INDEX('Annualized Costs'!$B$13:$E$13,1,$O$3))*$D11)/$P$3</f>
        <v>21.105072878565519</v>
      </c>
      <c r="G11" s="5">
        <f>($Q$3-SUM(INDEX('Annualized Costs'!$B$6:$E$6,1,$O$3),INDEX('Annualized Costs'!$B$13:$E$13,1,$O$3))+SUM(INDEX('Annualized Costs'!$B$6:$E$6,1,$O$3),INDEX('Annualized Costs'!$B$13:$E$13,1,$O$3))*$E11)/$P$3</f>
        <v>21.105072878565519</v>
      </c>
      <c r="H11" s="5">
        <f t="shared" si="0"/>
        <v>0</v>
      </c>
      <c r="I11" s="5">
        <f t="shared" si="1"/>
        <v>0</v>
      </c>
      <c r="J11" s="5">
        <f t="shared" si="2"/>
        <v>21.105072878565519</v>
      </c>
      <c r="K11" s="5">
        <f t="shared" si="3"/>
        <v>0</v>
      </c>
      <c r="L11" s="6">
        <f t="shared" si="4"/>
        <v>10</v>
      </c>
      <c r="M11" s="7" t="s">
        <v>225</v>
      </c>
      <c r="O11" s="1" t="str">
        <f>A16</f>
        <v>Electrolyzer lifetime</v>
      </c>
      <c r="P11" s="2">
        <f>H16</f>
        <v>1.2820861575131026</v>
      </c>
      <c r="Q11" s="2">
        <f>I16</f>
        <v>-0.72788505670997594</v>
      </c>
      <c r="R11" s="2">
        <f>K16</f>
        <v>2.0099712142230786</v>
      </c>
    </row>
    <row r="12" spans="1:38">
      <c r="A12" s="1" t="s">
        <v>56</v>
      </c>
      <c r="B12" s="1" t="s">
        <v>220</v>
      </c>
      <c r="C12" s="4">
        <v>1</v>
      </c>
      <c r="D12" s="34">
        <v>0.8</v>
      </c>
      <c r="E12" s="34">
        <v>1.2</v>
      </c>
      <c r="F12" s="5">
        <f>($Q$3-INDEX('Annualized Costs'!$B$9:$E$9,1,$O$3)-INDEX('Annualized Costs'!$B$7:$E$7,1,$O$3)*'Economic Assumptions'!$D$26+(INDEX('Annualized Costs'!$B$9:$E$9,1,$O$3)+INDEX('Annualized Costs'!$B$7:$E$7,1,$O$3)*'Economic Assumptions'!$D$26)*$D12)/$P$3</f>
        <v>20.921864721317718</v>
      </c>
      <c r="G12" s="5">
        <f>($Q$3-INDEX('Annualized Costs'!$B$9:$E$9,1,$O$3)-INDEX('Annualized Costs'!$B$7:$E$7,1,$O$3)*'Economic Assumptions'!$D$26+(INDEX('Annualized Costs'!$B$9:$E$9,1,$O$3)+INDEX('Annualized Costs'!$B$7:$E$7,1,$O$3)*'Economic Assumptions'!$D$26)*$E12)/$P$3</f>
        <v>21.28828103581332</v>
      </c>
      <c r="H12" s="5">
        <f t="shared" si="0"/>
        <v>-0.18320815724780104</v>
      </c>
      <c r="I12" s="5">
        <f t="shared" si="1"/>
        <v>0.18320815724780104</v>
      </c>
      <c r="J12" s="5">
        <f t="shared" si="2"/>
        <v>20.921864721317718</v>
      </c>
      <c r="K12" s="5">
        <f t="shared" si="3"/>
        <v>0.36641631449560208</v>
      </c>
      <c r="L12" s="6">
        <f t="shared" si="4"/>
        <v>8</v>
      </c>
      <c r="M12" s="7" t="s">
        <v>226</v>
      </c>
      <c r="O12" s="1" t="str">
        <f>A8</f>
        <v>Grid electricity cost</v>
      </c>
      <c r="P12" s="2">
        <f>H8</f>
        <v>-0.76416847237269536</v>
      </c>
      <c r="Q12" s="2">
        <f>I8</f>
        <v>0.76416847237269891</v>
      </c>
      <c r="R12" s="2">
        <f>K8</f>
        <v>1.5283369447453943</v>
      </c>
    </row>
    <row r="13" spans="1:38">
      <c r="A13" s="1" t="s">
        <v>58</v>
      </c>
      <c r="B13" s="1" t="s">
        <v>220</v>
      </c>
      <c r="C13" s="4">
        <v>1</v>
      </c>
      <c r="D13" s="34">
        <v>0.8</v>
      </c>
      <c r="E13" s="34">
        <v>1.2</v>
      </c>
      <c r="F13" s="5">
        <f>($Q$3-INDEX('Annualized Costs'!$B$10:$E$10,1,$O$3)-INDEX('Annualized Costs'!$B$8:$E$8,1,$O$3)*'Economic Assumptions'!$D$26+(INDEX('Annualized Costs'!$B$10:$E$10,1,$O$3)+INDEX('Annualized Costs'!$B$8:$E$8,1,$O$3)*'Economic Assumptions'!$D$26)*$D13)/$P$3</f>
        <v>21.105072878565519</v>
      </c>
      <c r="G13" s="5">
        <f>($Q$3-INDEX('Annualized Costs'!$B$10:$E$10,1,$O$3)-INDEX('Annualized Costs'!$B$8:$E$8,1,$O$3)*'Economic Assumptions'!$D$26+(INDEX('Annualized Costs'!$B$10:$E$10,1,$O$3)+INDEX('Annualized Costs'!$B$8:$E$8,1,$O$3)*'Economic Assumptions'!$D$26)*$E13)/$P$3</f>
        <v>21.105072878565519</v>
      </c>
      <c r="H13" s="5">
        <f t="shared" si="0"/>
        <v>0</v>
      </c>
      <c r="I13" s="5">
        <f t="shared" si="1"/>
        <v>0</v>
      </c>
      <c r="J13" s="5">
        <f t="shared" si="2"/>
        <v>21.105072878565519</v>
      </c>
      <c r="K13" s="5">
        <f t="shared" si="3"/>
        <v>0</v>
      </c>
      <c r="L13" s="6">
        <f t="shared" si="4"/>
        <v>10</v>
      </c>
      <c r="M13" s="7" t="s">
        <v>227</v>
      </c>
      <c r="O13" s="1" t="str">
        <f>A15</f>
        <v>PV lifetime</v>
      </c>
      <c r="P13" s="2">
        <f>H15</f>
        <v>0.72788505670997949</v>
      </c>
      <c r="Q13" s="2">
        <f>I15</f>
        <v>-0.45323456572806364</v>
      </c>
      <c r="R13" s="2">
        <f>K15</f>
        <v>1.1811196224380431</v>
      </c>
    </row>
    <row r="14" spans="1:38">
      <c r="A14" s="1" t="s">
        <v>22</v>
      </c>
      <c r="B14" s="1" t="s">
        <v>23</v>
      </c>
      <c r="C14" s="8">
        <v>0.06</v>
      </c>
      <c r="D14" s="35">
        <v>0.04</v>
      </c>
      <c r="E14" s="35">
        <v>0.08</v>
      </c>
      <c r="F14" s="5">
        <f>($Q$3-INDEX('Annualized Costs'!$B$4:$E$4,1,$O$3)-INDEX('Annualized Costs'!$B$5:$E$5,1,$O$3)-INDEX('Annualized Costs'!$B$6:$E$6,1,$O$3)-INDEX('Annualized Costs'!$B$9:$E$9,1,$O$3)-INDEX('Annualized Costs'!$B$10:$E$10,1,$O$3)+INDEX('Annualized Costs'!$B$4:$E$4,1,$O$3)*(($D14*(1+$D14)^'Economic Assumptions'!$D$8/((1+$D14)^'Economic Assumptions'!$D$8-1))/('Economic Assumptions'!$D$4*(1+'Economic Assumptions'!$D$4)^'Economic Assumptions'!$D$8/((1+'Economic Assumptions'!$D$4)^'Economic Assumptions'!$D$8-1)))+INDEX('Annualized Costs'!$B$5:$E$5,1,$O$3)*(($D14*(1+$D14)^'Economic Assumptions'!$D$14/((1+$D14)^'Economic Assumptions'!$D$14-1))/('Economic Assumptions'!$D$4*(1+'Economic Assumptions'!$D$4)^'Economic Assumptions'!$D$14/((1+'Economic Assumptions'!$D$4)^'Economic Assumptions'!$D$14-1)))+INDEX('Annualized Costs'!$B$6:$E$6,1,$O$3)*(($D14*(1+$D14)^'Economic Assumptions'!$D$20/((1+$D14)^'Economic Assumptions'!$D$20-1))/('Economic Assumptions'!$D$4*(1+'Economic Assumptions'!$D$4)^'Economic Assumptions'!$D$20/((1+'Economic Assumptions'!$D$4)^'Economic Assumptions'!$D$20-1)))+(INDEX('Annualized Costs'!$B$9:$E$9,1,$O$3)+INDEX('Annualized Costs'!$B$10:$E$10,1,$O$3))*(($D14*(1+$D14)^'Economic Assumptions'!$D$25/((1+$D14)^'Economic Assumptions'!$D$25-1))/('Economic Assumptions'!$D$4*(1+'Economic Assumptions'!$D$4)^'Economic Assumptions'!$D$25/((1+'Economic Assumptions'!$D$4)^'Economic Assumptions'!$D$25-1))))/$P$3</f>
        <v>18.716490458855141</v>
      </c>
      <c r="G14" s="5">
        <f>($Q$3-INDEX('Annualized Costs'!$B$4:$E$4,1,$O$3)-INDEX('Annualized Costs'!$B$5:$E$5,1,$O$3)-INDEX('Annualized Costs'!$B$6:$E$6,1,$O$3)-INDEX('Annualized Costs'!$B$9:$E$9,1,$O$3)-INDEX('Annualized Costs'!$B$10:$E$10,1,$O$3)+INDEX('Annualized Costs'!$B$4:$E$4,1,$O$3)*(($E14*(1+$E14)^'Economic Assumptions'!$D$8/((1+$E14)^'Economic Assumptions'!$D$8-1))/('Economic Assumptions'!$D$4*(1+'Economic Assumptions'!$D$4)^'Economic Assumptions'!$D$8/((1+'Economic Assumptions'!$D$4)^'Economic Assumptions'!$D$8-1)))+INDEX('Annualized Costs'!$B$5:$E$5,1,$O$3)*(($E14*(1+$E14)^'Economic Assumptions'!$D$14/((1+$E14)^'Economic Assumptions'!$D$14-1))/('Economic Assumptions'!$D$4*(1+'Economic Assumptions'!$D$4)^'Economic Assumptions'!$D$14/((1+'Economic Assumptions'!$D$4)^'Economic Assumptions'!$D$14-1)))+INDEX('Annualized Costs'!$B$6:$E$6,1,$O$3)*(($E14*(1+$E14)^'Economic Assumptions'!$D$20/((1+$E14)^'Economic Assumptions'!$D$20-1))/('Economic Assumptions'!$D$4*(1+'Economic Assumptions'!$D$4)^'Economic Assumptions'!$D$20/((1+'Economic Assumptions'!$D$4)^'Economic Assumptions'!$D$20-1)))+(INDEX('Annualized Costs'!$B$9:$E$9,1,$O$3)+INDEX('Annualized Costs'!$B$10:$E$10,1,$O$3))*(($E14*(1+$E14)^'Economic Assumptions'!$D$25/((1+$E14)^'Economic Assumptions'!$D$25-1))/('Economic Assumptions'!$D$4*(1+'Economic Assumptions'!$D$4)^'Economic Assumptions'!$D$25/((1+'Economic Assumptions'!$D$4)^'Economic Assumptions'!$D$25-1))))/$P$3</f>
        <v>23.69075762668286</v>
      </c>
      <c r="H14" s="5">
        <f t="shared" si="0"/>
        <v>-2.388582419710378</v>
      </c>
      <c r="I14" s="5">
        <f t="shared" si="1"/>
        <v>2.5856847481173411</v>
      </c>
      <c r="J14" s="5">
        <f t="shared" si="2"/>
        <v>18.716490458855141</v>
      </c>
      <c r="K14" s="5">
        <f t="shared" si="3"/>
        <v>4.974267167827719</v>
      </c>
      <c r="L14" s="6">
        <f t="shared" si="4"/>
        <v>1</v>
      </c>
      <c r="M14" s="7" t="s">
        <v>228</v>
      </c>
      <c r="O14" s="1" t="str">
        <f>A18</f>
        <v>Electrolyzer SEC</v>
      </c>
      <c r="P14" s="2">
        <f>H18</f>
        <v>-0.19131739492039657</v>
      </c>
      <c r="Q14" s="2">
        <f>I18</f>
        <v>0.19131739492040012</v>
      </c>
      <c r="R14" s="2">
        <f>K18</f>
        <v>0.38263478984079669</v>
      </c>
    </row>
    <row r="15" spans="1:38">
      <c r="A15" s="1" t="s">
        <v>31</v>
      </c>
      <c r="B15" s="1" t="s">
        <v>26</v>
      </c>
      <c r="C15" s="9">
        <v>25</v>
      </c>
      <c r="D15" s="11">
        <v>20</v>
      </c>
      <c r="E15" s="11">
        <v>30</v>
      </c>
      <c r="F15" s="5">
        <f>($Q$3-INDEX('Annualized Costs'!$B$4:$E$4,1,$O$3)+INDEX('Annualized Costs'!$B$4:$E$4,1,$O$3)*(('Economic Assumptions'!$D$4*(1+'Economic Assumptions'!$D$4)^$D15/((1+'Economic Assumptions'!$D$4)^$D15-1))/('Economic Assumptions'!$D$4*(1+'Economic Assumptions'!$D$4)^'Economic Assumptions'!$D$8/((1+'Economic Assumptions'!$D$4)^'Economic Assumptions'!$D$8-1))))/$P$3</f>
        <v>21.832957935275498</v>
      </c>
      <c r="G15" s="5">
        <f>($Q$3-INDEX('Annualized Costs'!$B$4:$E$4,1,$O$3)+INDEX('Annualized Costs'!$B$4:$E$4,1,$O$3)*(('Economic Assumptions'!$D$4*(1+'Economic Assumptions'!$D$4)^$E15/((1+'Economic Assumptions'!$D$4)^$E15-1))/('Economic Assumptions'!$D$4*(1+'Economic Assumptions'!$D$4)^'Economic Assumptions'!$D$8/((1+'Economic Assumptions'!$D$4)^'Economic Assumptions'!$D$8-1))))/$P$3</f>
        <v>20.651838312837455</v>
      </c>
      <c r="H15" s="5">
        <f t="shared" si="0"/>
        <v>0.72788505670997949</v>
      </c>
      <c r="I15" s="5">
        <f t="shared" si="1"/>
        <v>-0.45323456572806364</v>
      </c>
      <c r="J15" s="5">
        <f t="shared" si="2"/>
        <v>20.651838312837455</v>
      </c>
      <c r="K15" s="5">
        <f t="shared" si="3"/>
        <v>1.1811196224380431</v>
      </c>
      <c r="L15" s="6">
        <f t="shared" si="4"/>
        <v>6</v>
      </c>
      <c r="M15" s="7" t="s">
        <v>229</v>
      </c>
      <c r="O15" s="1" t="str">
        <f>A12</f>
        <v>LP storage cost</v>
      </c>
      <c r="P15" s="2">
        <f>H12</f>
        <v>-0.18320815724780104</v>
      </c>
      <c r="Q15" s="2">
        <f>I12</f>
        <v>0.18320815724780104</v>
      </c>
      <c r="R15" s="2">
        <f>K12</f>
        <v>0.36641631449560208</v>
      </c>
    </row>
    <row r="16" spans="1:38">
      <c r="A16" s="1" t="s">
        <v>230</v>
      </c>
      <c r="B16" s="1" t="s">
        <v>26</v>
      </c>
      <c r="C16" s="9">
        <v>20</v>
      </c>
      <c r="D16" s="11">
        <v>15</v>
      </c>
      <c r="E16" s="11">
        <v>25</v>
      </c>
      <c r="F16" s="5">
        <f>($Q$3-INDEX('Annualized Costs'!$B$5:$E$5,1,$O$3)+INDEX('Annualized Costs'!$B$5:$E$5,1,$O$3)*(('Economic Assumptions'!$D$4*(1+'Economic Assumptions'!$D$4)^$D16/((1+'Economic Assumptions'!$D$4)^$D16-1))/('Economic Assumptions'!$D$4*(1+'Economic Assumptions'!$D$4)^'Economic Assumptions'!$D$14/((1+'Economic Assumptions'!$D$4)^'Economic Assumptions'!$D$14-1))))/$P$3</f>
        <v>22.387159036078621</v>
      </c>
      <c r="G16" s="5">
        <f>($Q$3-INDEX('Annualized Costs'!$B$5:$E$5,1,$O$3)+INDEX('Annualized Costs'!$B$5:$E$5,1,$O$3)*(('Economic Assumptions'!$D$4*(1+'Economic Assumptions'!$D$4)^$E16/((1+'Economic Assumptions'!$D$4)^$E16-1))/('Economic Assumptions'!$D$4*(1+'Economic Assumptions'!$D$4)^'Economic Assumptions'!$D$14/((1+'Economic Assumptions'!$D$4)^'Economic Assumptions'!$D$14-1))))/$P$3</f>
        <v>20.377187821855543</v>
      </c>
      <c r="H16" s="5">
        <f t="shared" si="0"/>
        <v>1.2820861575131026</v>
      </c>
      <c r="I16" s="5">
        <f t="shared" si="1"/>
        <v>-0.72788505670997594</v>
      </c>
      <c r="J16" s="5">
        <f t="shared" si="2"/>
        <v>20.377187821855543</v>
      </c>
      <c r="K16" s="5">
        <f t="shared" si="3"/>
        <v>2.0099712142230786</v>
      </c>
      <c r="L16" s="6">
        <f t="shared" si="4"/>
        <v>4</v>
      </c>
      <c r="M16" s="7" t="s">
        <v>231</v>
      </c>
      <c r="O16" s="1" t="str">
        <f>A17</f>
        <v>Storage lifetime</v>
      </c>
      <c r="P16" s="2">
        <f>H17</f>
        <v>0.14872199427151855</v>
      </c>
      <c r="Q16" s="2">
        <f>I17</f>
        <v>-8.4434666578356854E-2</v>
      </c>
      <c r="R16" s="2">
        <f>K17</f>
        <v>0.23315666084987541</v>
      </c>
    </row>
    <row r="17" spans="1:18">
      <c r="A17" s="1" t="s">
        <v>60</v>
      </c>
      <c r="B17" s="1" t="s">
        <v>26</v>
      </c>
      <c r="C17" s="9">
        <v>20</v>
      </c>
      <c r="D17" s="11">
        <v>15</v>
      </c>
      <c r="E17" s="11">
        <v>25</v>
      </c>
      <c r="F17" s="5">
        <f>($Q$3-INDEX('Annualized Costs'!$B$9:$E$9,1,$O$3)-INDEX('Annualized Costs'!$B$10:$E$10,1,$O$3)+(INDEX('Annualized Costs'!$B$9:$E$9,1,$O$3)+INDEX('Annualized Costs'!$B$10:$E$10,1,$O$3))*(('Economic Assumptions'!$D$4*(1+'Economic Assumptions'!$D$4)^$D17/((1+'Economic Assumptions'!$D$4)^$D17-1))/('Economic Assumptions'!$D$4*(1+'Economic Assumptions'!$D$4)^'Economic Assumptions'!$D$25/((1+'Economic Assumptions'!$D$4)^'Economic Assumptions'!$D$25-1))))/$P$3</f>
        <v>21.253794872837037</v>
      </c>
      <c r="G17" s="5">
        <f>($Q$3-INDEX('Annualized Costs'!$B$9:$E$9,1,$O$3)-INDEX('Annualized Costs'!$B$10:$E$10,1,$O$3)+(INDEX('Annualized Costs'!$B$9:$E$9,1,$O$3)+INDEX('Annualized Costs'!$B$10:$E$10,1,$O$3))*(('Economic Assumptions'!$D$4*(1+'Economic Assumptions'!$D$4)^$E17/((1+'Economic Assumptions'!$D$4)^$E17-1))/('Economic Assumptions'!$D$4*(1+'Economic Assumptions'!$D$4)^'Economic Assumptions'!$D$25/((1+'Economic Assumptions'!$D$4)^'Economic Assumptions'!$D$25-1))))/$P$3</f>
        <v>21.020638211987162</v>
      </c>
      <c r="H17" s="5">
        <f t="shared" si="0"/>
        <v>0.14872199427151855</v>
      </c>
      <c r="I17" s="5">
        <f t="shared" si="1"/>
        <v>-8.4434666578356854E-2</v>
      </c>
      <c r="J17" s="5">
        <f t="shared" si="2"/>
        <v>21.020638211987162</v>
      </c>
      <c r="K17" s="5">
        <f t="shared" si="3"/>
        <v>0.23315666084987541</v>
      </c>
      <c r="L17" s="6">
        <f t="shared" si="4"/>
        <v>9</v>
      </c>
      <c r="M17" s="7" t="s">
        <v>232</v>
      </c>
      <c r="O17" s="1" t="str">
        <f>A11</f>
        <v>Compressor CAPEX</v>
      </c>
      <c r="P17" s="2">
        <f>H11</f>
        <v>0</v>
      </c>
      <c r="Q17" s="2">
        <f>I11</f>
        <v>0</v>
      </c>
      <c r="R17" s="2">
        <f>K11</f>
        <v>0</v>
      </c>
    </row>
    <row r="18" spans="1:18">
      <c r="A18" s="1" t="s">
        <v>64</v>
      </c>
      <c r="B18" s="1" t="s">
        <v>233</v>
      </c>
      <c r="C18" s="9">
        <v>55.52</v>
      </c>
      <c r="D18" s="11">
        <v>52.74</v>
      </c>
      <c r="E18" s="11">
        <v>58.3</v>
      </c>
      <c r="F18" s="5">
        <f>($Q$3-$AG$3+$AG$3*($D18/$C18))/$P$3</f>
        <v>20.913755483645122</v>
      </c>
      <c r="G18" s="5">
        <f>($Q$3-$AG$3+$AG$3*($E18/$C18))/$P$3</f>
        <v>21.296390273485919</v>
      </c>
      <c r="H18" s="5">
        <f t="shared" si="0"/>
        <v>-0.19131739492039657</v>
      </c>
      <c r="I18" s="5">
        <f t="shared" si="1"/>
        <v>0.19131739492040012</v>
      </c>
      <c r="J18" s="5">
        <f t="shared" si="2"/>
        <v>20.913755483645122</v>
      </c>
      <c r="K18" s="5">
        <f t="shared" si="3"/>
        <v>0.38263478984079669</v>
      </c>
      <c r="L18" s="6">
        <f t="shared" si="4"/>
        <v>7</v>
      </c>
      <c r="M18" s="7" t="s">
        <v>234</v>
      </c>
      <c r="O18" s="1" t="str">
        <f>A13</f>
        <v>HP storage cost</v>
      </c>
      <c r="P18" s="2">
        <f>H13</f>
        <v>0</v>
      </c>
      <c r="Q18" s="2">
        <f>I13</f>
        <v>0</v>
      </c>
      <c r="R18" s="2">
        <f>K13</f>
        <v>0</v>
      </c>
    </row>
    <row r="19" spans="1:18">
      <c r="A19" s="1" t="s">
        <v>67</v>
      </c>
      <c r="B19" s="1" t="s">
        <v>233</v>
      </c>
      <c r="C19" s="9">
        <v>1.01</v>
      </c>
      <c r="D19" s="11">
        <v>0.8</v>
      </c>
      <c r="E19" s="11">
        <v>1.3</v>
      </c>
      <c r="F19" s="5">
        <f>($Q$3-($AI$3*IF($AH$3=0,0,$AG$3/$AH$3))+($AI$3*($D19/$C19)*IF($AH$3=0,0,$AG$3/$AH$3)))/$P$3</f>
        <v>21.105072878565519</v>
      </c>
      <c r="G19" s="5">
        <f>($Q$3-($AI$3*IF($AH$3=0,0,$AG$3/$AH$3))+($AI$3*($E19/$C19)*IF($AH$3=0,0,$AG$3/$AH$3)))/$P$3</f>
        <v>21.105072878565519</v>
      </c>
      <c r="H19" s="5">
        <f t="shared" si="0"/>
        <v>0</v>
      </c>
      <c r="I19" s="5">
        <f t="shared" si="1"/>
        <v>0</v>
      </c>
      <c r="J19" s="5">
        <f t="shared" si="2"/>
        <v>21.105072878565519</v>
      </c>
      <c r="K19" s="5">
        <f t="shared" si="3"/>
        <v>0</v>
      </c>
      <c r="L19" s="6">
        <f t="shared" si="4"/>
        <v>10</v>
      </c>
      <c r="M19" s="7" t="s">
        <v>235</v>
      </c>
      <c r="O19" s="1" t="str">
        <f>A19</f>
        <v>Compressor SEC</v>
      </c>
      <c r="P19" s="2">
        <f>H19</f>
        <v>0</v>
      </c>
      <c r="Q19" s="2">
        <f>I19</f>
        <v>0</v>
      </c>
      <c r="R19" s="2">
        <f>K19</f>
        <v>0</v>
      </c>
    </row>
    <row r="47" spans="1:9">
      <c r="B47" s="49" t="s">
        <v>236</v>
      </c>
      <c r="C47" s="49"/>
      <c r="D47" s="49"/>
      <c r="E47" s="49"/>
      <c r="F47" s="49"/>
      <c r="G47" s="49"/>
      <c r="H47" s="49"/>
      <c r="I47" s="49"/>
    </row>
    <row r="48" spans="1:9">
      <c r="A48" s="45" t="s">
        <v>237</v>
      </c>
      <c r="B48" s="1" t="s">
        <v>238</v>
      </c>
    </row>
    <row r="49" spans="1:2">
      <c r="A49" s="45"/>
      <c r="B49" s="1" t="s">
        <v>239</v>
      </c>
    </row>
    <row r="50" spans="1:2">
      <c r="A50" s="45"/>
      <c r="B50" s="1" t="s">
        <v>240</v>
      </c>
    </row>
  </sheetData>
  <mergeCells count="7">
    <mergeCell ref="A48:A50"/>
    <mergeCell ref="A1:M1"/>
    <mergeCell ref="A6:M6"/>
    <mergeCell ref="O1:AL1"/>
    <mergeCell ref="O6:R6"/>
    <mergeCell ref="B47:I47"/>
    <mergeCell ref="B2:C2"/>
  </mergeCells>
  <conditionalFormatting sqref="H8:I19">
    <cfRule type="colorScale" priority="1">
      <colorScale>
        <cfvo type="min"/>
        <cfvo type="percentile" val="50"/>
        <cfvo type="max"/>
        <color rgb="FFF4CCCC"/>
        <color rgb="FFFFF2CC"/>
        <color rgb="FFD9EAD3"/>
      </colorScale>
    </cfRule>
  </conditionalFormatting>
  <conditionalFormatting sqref="K8:K19">
    <cfRule type="dataBar" priority="2">
      <dataBar>
        <cfvo type="min"/>
        <cfvo type="max"/>
        <color rgb="FFA02B93"/>
      </dataBar>
    </cfRule>
    <cfRule type="dataBar" priority="3">
      <dataBar>
        <cfvo type="min"/>
        <cfvo type="max"/>
        <color rgb="FFA02B93"/>
      </dataBar>
    </cfRule>
    <cfRule type="dataBar" priority="4">
      <dataBar>
        <cfvo type="min"/>
        <cfvo type="max"/>
        <color rgb="FFA02B93"/>
      </dataBar>
    </cfRule>
    <cfRule type="dataBar" priority="5">
      <dataBar>
        <cfvo type="min"/>
        <cfvo type="max"/>
        <color rgb="FFA02B93"/>
      </dataBar>
      <extLst>
        <ext xmlns:x14="http://schemas.microsoft.com/office/spreadsheetml/2009/9/main" uri="{B025F937-C7B1-47D3-B67F-A62EFF666E3E}">
          <x14:id>{3624AE38-F5F1-3B00-C4B0-C97577A8E9C0}</x14:id>
        </ext>
      </extLst>
    </cfRule>
  </conditionalFormatting>
  <dataValidations count="1">
    <dataValidation type="list" sqref="B3" xr:uid="{00000000-0002-0000-0500-000000000000}">
      <formula1>"Case 1,Case 2"</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624AE38-F5F1-3B00-C4B0-C97577A8E9C0}">
            <x14:dataBar>
              <x14:cfvo type="min"/>
              <x14:cfvo type="max"/>
              <x14:negativeFillColor auto="1"/>
              <x14:axisColor auto="1"/>
            </x14:dataBar>
          </x14:cfRule>
          <xm:sqref>K8:K19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57"/>
  <sheetViews>
    <sheetView topLeftCell="D1" workbookViewId="0">
      <selection activeCell="O22" sqref="O22"/>
    </sheetView>
  </sheetViews>
  <sheetFormatPr defaultColWidth="8.69921875" defaultRowHeight="14.4"/>
  <cols>
    <col min="1" max="1" width="14.69921875" style="1" customWidth="1"/>
    <col min="2" max="10" width="8.69921875" style="1"/>
    <col min="11" max="11" width="12.09765625" style="1" customWidth="1"/>
    <col min="12" max="24" width="8.69921875" style="1"/>
    <col min="25" max="25" width="22.8984375" style="1" customWidth="1"/>
    <col min="26" max="16384" width="8.69921875" style="1"/>
  </cols>
  <sheetData>
    <row r="1" spans="1:26" ht="14.25" customHeight="1">
      <c r="A1" s="46" t="s">
        <v>241</v>
      </c>
      <c r="B1" s="47"/>
      <c r="C1" s="47"/>
      <c r="D1" s="47"/>
      <c r="E1" s="47"/>
      <c r="F1" s="47"/>
      <c r="G1" s="47"/>
      <c r="H1" s="47"/>
      <c r="I1" s="47"/>
      <c r="J1" s="47"/>
      <c r="K1" s="47"/>
      <c r="L1" s="47"/>
      <c r="M1" s="47"/>
      <c r="N1" s="47"/>
      <c r="O1" s="47"/>
      <c r="P1" s="47"/>
      <c r="Q1" s="47"/>
      <c r="R1" s="47"/>
      <c r="S1" s="47"/>
      <c r="T1" s="47"/>
      <c r="U1" s="47"/>
      <c r="V1" s="47"/>
      <c r="W1" s="47"/>
      <c r="X1" s="47"/>
      <c r="Y1" s="47"/>
      <c r="Z1" s="47"/>
    </row>
    <row r="3" spans="1:26">
      <c r="A3" s="1" t="s">
        <v>203</v>
      </c>
      <c r="B3" s="33" t="s">
        <v>73</v>
      </c>
      <c r="Y3" s="20" t="s">
        <v>242</v>
      </c>
      <c r="Z3" s="19">
        <f>MATCH($B$3, 'LCOH '!$B$3:'LCOH '!$E$3,0)</f>
        <v>1</v>
      </c>
    </row>
    <row r="4" spans="1:26">
      <c r="A4" s="1" t="s">
        <v>243</v>
      </c>
      <c r="B4" s="3">
        <f>INDEX('LCOH '!$B$15:$E$15,1,MATCH($B$3,'LCOH '!$B$3:$E$3,0))</f>
        <v>21.105072878565519</v>
      </c>
      <c r="Y4" s="20" t="s">
        <v>183</v>
      </c>
      <c r="Z4" s="19" cm="1">
        <f t="array" ref="Z4">INDEX('Case Inputs'!$C$6:$F$6,1,'OAT Scenario Curves'!$Z$3)</f>
        <v>738.4</v>
      </c>
    </row>
    <row r="5" spans="1:26">
      <c r="Y5" s="20" t="s">
        <v>244</v>
      </c>
      <c r="Z5" s="19" cm="1">
        <f t="array" ref="Z5">INDEX('Annualized Costs'!$B$22:'Annualized Costs'!$E$22,1,'OAT Scenario Curves'!$Z$3)</f>
        <v>15583.98581353278</v>
      </c>
    </row>
    <row r="6" spans="1:26" ht="10.65" customHeight="1">
      <c r="A6" s="48" t="s">
        <v>42</v>
      </c>
      <c r="B6" s="47"/>
      <c r="C6" s="47"/>
      <c r="D6" s="47"/>
      <c r="F6" s="48" t="s">
        <v>185</v>
      </c>
      <c r="G6" s="47"/>
      <c r="H6" s="47"/>
      <c r="I6" s="47"/>
      <c r="K6" s="48" t="s">
        <v>245</v>
      </c>
      <c r="L6" s="47"/>
      <c r="M6" s="47"/>
      <c r="N6" s="47"/>
      <c r="P6" s="48" t="s">
        <v>246</v>
      </c>
      <c r="Q6" s="47"/>
      <c r="R6" s="47"/>
      <c r="S6" s="47"/>
      <c r="U6" s="48" t="s">
        <v>247</v>
      </c>
      <c r="V6" s="47"/>
      <c r="W6" s="47"/>
      <c r="X6" s="47"/>
      <c r="Y6" s="20" t="s">
        <v>248</v>
      </c>
      <c r="Z6" s="19" cm="1">
        <f t="array" ref="Z6">INDEX('Annualized Costs'!$B$17:$E$17,1,'OAT Scenario Curves'!$Z$3)</f>
        <v>2821.31</v>
      </c>
    </row>
    <row r="7" spans="1:26" ht="28.8">
      <c r="A7" s="32" t="s">
        <v>249</v>
      </c>
      <c r="B7" s="32" t="s">
        <v>250</v>
      </c>
      <c r="C7" s="32" t="s">
        <v>251</v>
      </c>
      <c r="D7" s="32" t="s">
        <v>252</v>
      </c>
      <c r="F7" s="32" t="s">
        <v>253</v>
      </c>
      <c r="G7" s="32" t="s">
        <v>250</v>
      </c>
      <c r="H7" s="32" t="s">
        <v>251</v>
      </c>
      <c r="I7" s="32" t="s">
        <v>252</v>
      </c>
      <c r="K7" s="32" t="s">
        <v>254</v>
      </c>
      <c r="L7" s="32" t="s">
        <v>250</v>
      </c>
      <c r="M7" s="32" t="s">
        <v>251</v>
      </c>
      <c r="N7" s="32" t="s">
        <v>203</v>
      </c>
      <c r="P7" s="32" t="s">
        <v>200</v>
      </c>
      <c r="Q7" s="32" t="s">
        <v>250</v>
      </c>
      <c r="R7" s="32" t="s">
        <v>251</v>
      </c>
      <c r="S7" s="32" t="s">
        <v>203</v>
      </c>
      <c r="T7" s="25"/>
      <c r="U7" s="32" t="s">
        <v>255</v>
      </c>
      <c r="V7" s="32" t="s">
        <v>250</v>
      </c>
      <c r="W7" s="32" t="s">
        <v>251</v>
      </c>
      <c r="X7" s="32" t="s">
        <v>203</v>
      </c>
      <c r="Y7" s="20" t="s">
        <v>256</v>
      </c>
      <c r="Z7" s="19">
        <f>$Z$5/$Z$4</f>
        <v>21.105072878565519</v>
      </c>
    </row>
    <row r="8" spans="1:26">
      <c r="A8" s="1">
        <v>0.5</v>
      </c>
      <c r="B8" s="5" cm="1">
        <f t="array" ref="B8">($Z$5-INDEX('Annualized Costs'!$B$5:$E$5,1,$Z$3)+INDEX('Annualized Costs'!$B$5:$E$5,1,$Z$3)*A8)/$Z$4</f>
        <v>17.562905070730281</v>
      </c>
      <c r="C8" s="5">
        <f>B8-$B$4</f>
        <v>-3.5421678078352379</v>
      </c>
      <c r="D8" s="1" t="str">
        <f>$B$3</f>
        <v>Case 1</v>
      </c>
      <c r="F8" s="1">
        <v>0.5</v>
      </c>
      <c r="G8" s="5" cm="1">
        <f t="array" ref="G8">($Z$5-INDEX('Annualized Costs'!$B$4:$E$4,1,$Z$3)+INDEX('Annualized Costs'!$B$4:$E$4,1,$Z$3)*F8)/$Z$4</f>
        <v>17.926847599085267</v>
      </c>
      <c r="H8" s="5">
        <f>G8-$B$4</f>
        <v>-3.1782252794802517</v>
      </c>
      <c r="I8" s="1" t="str">
        <f>$B$3</f>
        <v>Case 1</v>
      </c>
      <c r="K8" s="1">
        <v>50</v>
      </c>
      <c r="L8" s="5">
        <f>($Z$5-$Z$8+$Z$8*(K8/'Economic Assumptions'!$D$29))/'OAT Scenario Curves'!$Z$4</f>
        <v>20.767682879627088</v>
      </c>
      <c r="M8" s="5">
        <f>L8-$B$4</f>
        <v>-0.33738999893843058</v>
      </c>
      <c r="N8" s="1" t="str">
        <f t="shared" ref="N8:N14" si="0">$B$3</f>
        <v>Case 1</v>
      </c>
      <c r="P8" s="26">
        <f>P13*0.5</f>
        <v>0.03</v>
      </c>
      <c r="Q8" s="5">
        <f>($Z$5-INDEX('Annualized Costs'!$B$4:$E$4,1,$Z$3)-INDEX('Annualized Costs'!$B$5:$E$5,1,$Z$3)-INDEX('Annualized Costs'!$B$6:$E$6,1,$Z$3)-INDEX('Annualized Costs'!$B$9:$E$9,1,$Z$3)-INDEX('Annualized Costs'!$B$10:$E$10,1,$Z$3)+INDEX('Annualized Costs'!$B$4:$E$4,1,$Z$3)*((P8*(1+P8)^'Economic Assumptions'!$D$8/((1+P8)^'Economic Assumptions'!$D$8-1))/('Economic Assumptions'!$D$4*(1+'Economic Assumptions'!$D$4)^'Economic Assumptions'!$D$8/((1+'Economic Assumptions'!$D$4)^'Economic Assumptions'!$D$8-1)))+INDEX('Annualized Costs'!$B$5:$E$5,1,$Z$3)*((P8*(1+P8)^'Economic Assumptions'!$D$14/((1+P8)^'Economic Assumptions'!$D$14-1))/('Economic Assumptions'!$D$4*(1+'Economic Assumptions'!$D$4)^'Economic Assumptions'!$D$14/((1+'Economic Assumptions'!$D$4)^'Economic Assumptions'!$D$14-1)))+INDEX('Annualized Costs'!$B$6:$E$6,1,$Z$3)*((P8*(1+P8)^'Economic Assumptions'!$D$20/((1+P8)^'Economic Assumptions'!$D$20-1))/('Economic Assumptions'!$D$4*(1+'Economic Assumptions'!$D$4)^'Economic Assumptions'!$D$20/((1+'Economic Assumptions'!$D$4)^'Economic Assumptions'!$D$20-1)))+(INDEX('Annualized Costs'!$B$9:$E$9,1,$Z$3)+INDEX('Annualized Costs'!$B$10:$E$10,1,$Z$3))*((P8*(1+P8)^'Economic Assumptions'!$D$25/((1+P8)^'Economic Assumptions'!$D$25-1))/('Economic Assumptions'!$D$4*(1+'Economic Assumptions'!$D$4)^'Economic Assumptions'!$D$25/((1+'Economic Assumptions'!$D$4)^'Economic Assumptions'!$D$25-1))))/$Z$4</f>
        <v>17.604199388759117</v>
      </c>
      <c r="R8" s="5">
        <f t="shared" ref="R8:R12" si="1">Q8-$B$4</f>
        <v>-3.500873489806402</v>
      </c>
      <c r="S8" s="1" t="str">
        <f t="shared" ref="S8:S18" si="2">$B$3</f>
        <v>Case 1</v>
      </c>
      <c r="U8" s="1">
        <v>0.5</v>
      </c>
      <c r="V8" s="5">
        <f>($Z$5-$Z$6+$Z$6*U8)/$Z$4</f>
        <v>19.194651697633777</v>
      </c>
      <c r="W8" s="5">
        <f t="shared" ref="W8:W18" si="3">V8-$B$4</f>
        <v>-1.910421180931742</v>
      </c>
      <c r="X8" s="1" t="str">
        <f t="shared" ref="X8:X18" si="4">$B$3</f>
        <v>Case 1</v>
      </c>
      <c r="Y8" s="20" t="s">
        <v>257</v>
      </c>
      <c r="Z8" s="19" cm="1">
        <f t="array" ref="Z8">INDEX('Case Inputs'!$C$22:$F$22,1,'OAT Scenario Curves'!$Z$3)</f>
        <v>2505.73</v>
      </c>
    </row>
    <row r="9" spans="1:26">
      <c r="A9" s="1">
        <f>A8+0.1</f>
        <v>0.6</v>
      </c>
      <c r="B9" s="5" cm="1">
        <f t="array" ref="B9">($Z$5-INDEX('Annualized Costs'!$B$5:$E$5,1,$Z$3)+INDEX('Annualized Costs'!$B$5:$E$5,1,$Z$3)*A9)/$Z$4</f>
        <v>18.271338632297326</v>
      </c>
      <c r="C9" s="5">
        <f t="shared" ref="C9:C18" si="5">B9-$B$4</f>
        <v>-2.8337342462681931</v>
      </c>
      <c r="D9" s="1" t="str">
        <f t="shared" ref="D9:D18" si="6">$B$3</f>
        <v>Case 1</v>
      </c>
      <c r="F9" s="1">
        <f>F8+0.1</f>
        <v>0.6</v>
      </c>
      <c r="G9" s="5" cm="1">
        <f t="array" ref="G9">($Z$5-INDEX('Annualized Costs'!$B$4:$E$4,1,$Z$3)+INDEX('Annualized Costs'!$B$4:$E$4,1,$Z$3)*F9)/$Z$4</f>
        <v>18.562492654981316</v>
      </c>
      <c r="H9" s="5">
        <f t="shared" ref="H9:H18" si="7">G9-$B$4</f>
        <v>-2.5425802235842028</v>
      </c>
      <c r="I9" s="1" t="str">
        <f t="shared" ref="I9:I18" si="8">$B$3</f>
        <v>Case 1</v>
      </c>
      <c r="K9" s="1">
        <v>52</v>
      </c>
      <c r="L9" s="5">
        <f>($Z$5-$Z$8+$Z$8*(K9/'Economic Assumptions'!$D$29))/'OAT Scenario Curves'!$Z$4</f>
        <v>20.889925632865651</v>
      </c>
      <c r="M9" s="5">
        <f t="shared" ref="M9:M14" si="9">L9-$B$4</f>
        <v>-0.21514724569986754</v>
      </c>
      <c r="N9" s="1" t="str">
        <f t="shared" si="0"/>
        <v>Case 1</v>
      </c>
      <c r="P9" s="27">
        <f>P13*0.6</f>
        <v>3.5999999999999997E-2</v>
      </c>
      <c r="Q9" s="5">
        <f>($Z$5-INDEX('Annualized Costs'!$B$4:$E$4,1,$Z$3)-INDEX('Annualized Costs'!$B$5:$E$5,1,$Z$3)-INDEX('Annualized Costs'!$B$6:$E$6,1,$Z$3)-INDEX('Annualized Costs'!$B$9:$E$9,1,$Z$3)-INDEX('Annualized Costs'!$B$10:$E$10,1,$Z$3)+INDEX('Annualized Costs'!$B$4:$E$4,1,$Z$3)*((P9*(1+P9)^'Economic Assumptions'!$D$8/((1+P9)^'Economic Assumptions'!$D$8-1))/('Economic Assumptions'!$D$4*(1+'Economic Assumptions'!$D$4)^'Economic Assumptions'!$D$8/((1+'Economic Assumptions'!$D$4)^'Economic Assumptions'!$D$8-1)))+INDEX('Annualized Costs'!$B$5:$E$5,1,$Z$3)*((P9*(1+P9)^'Economic Assumptions'!$D$14/((1+P9)^'Economic Assumptions'!$D$14-1))/('Economic Assumptions'!$D$4*(1+'Economic Assumptions'!$D$4)^'Economic Assumptions'!$D$14/((1+'Economic Assumptions'!$D$4)^'Economic Assumptions'!$D$14-1)))+INDEX('Annualized Costs'!$B$6:$E$6,1,$Z$3)*((P9*(1+P9)^'Economic Assumptions'!$D$20/((1+P9)^'Economic Assumptions'!$D$20-1))/('Economic Assumptions'!$D$4*(1+'Economic Assumptions'!$D$4)^'Economic Assumptions'!$D$20/((1+'Economic Assumptions'!$D$4)^'Economic Assumptions'!$D$20-1)))+(INDEX('Annualized Costs'!$B$9:$E$9,1,$Z$3)+INDEX('Annualized Costs'!$B$10:$E$10,1,$Z$3))*((P9*(1+P9)^'Economic Assumptions'!$D$25/((1+P9)^'Economic Assumptions'!$D$25-1))/('Economic Assumptions'!$D$4*(1+'Economic Assumptions'!$D$4)^'Economic Assumptions'!$D$25/((1+'Economic Assumptions'!$D$4)^'Economic Assumptions'!$D$25-1))))/$Z$4</f>
        <v>18.26472826498064</v>
      </c>
      <c r="R9" s="5">
        <f t="shared" si="1"/>
        <v>-2.8403446135848789</v>
      </c>
      <c r="S9" s="1" t="str">
        <f t="shared" si="2"/>
        <v>Case 1</v>
      </c>
      <c r="U9" s="1">
        <f>U8+0.1</f>
        <v>0.6</v>
      </c>
      <c r="V9" s="5">
        <f t="shared" ref="V9:V18" si="10">($Z$5-$Z$6+$Z$6*U9)/$Z$4</f>
        <v>19.576735933820125</v>
      </c>
      <c r="W9" s="5">
        <f t="shared" si="3"/>
        <v>-1.5283369447453943</v>
      </c>
      <c r="X9" s="1" t="str">
        <f t="shared" si="4"/>
        <v>Case 1</v>
      </c>
    </row>
    <row r="10" spans="1:26">
      <c r="A10" s="1">
        <f t="shared" ref="A10:A12" si="11">A9+0.1</f>
        <v>0.7</v>
      </c>
      <c r="B10" s="5" cm="1">
        <f t="array" ref="B10">($Z$5-INDEX('Annualized Costs'!$B$5:$E$5,1,$Z$3)+INDEX('Annualized Costs'!$B$5:$E$5,1,$Z$3)*A10)/$Z$4</f>
        <v>18.979772193864374</v>
      </c>
      <c r="C10" s="5">
        <f t="shared" si="5"/>
        <v>-2.1253006847011449</v>
      </c>
      <c r="D10" s="1" t="str">
        <f t="shared" si="6"/>
        <v>Case 1</v>
      </c>
      <c r="F10" s="1">
        <f t="shared" ref="F10:F12" si="12">F9+0.1</f>
        <v>0.7</v>
      </c>
      <c r="G10" s="5" cm="1">
        <f t="array" ref="G10">($Z$5-INDEX('Annualized Costs'!$B$4:$E$4,1,$Z$3)+INDEX('Annualized Costs'!$B$4:$E$4,1,$Z$3)*F10)/$Z$4</f>
        <v>19.198137710877369</v>
      </c>
      <c r="H10" s="5">
        <f t="shared" si="7"/>
        <v>-1.9069351676881503</v>
      </c>
      <c r="I10" s="1" t="str">
        <f t="shared" si="8"/>
        <v>Case 1</v>
      </c>
      <c r="K10" s="1">
        <v>54</v>
      </c>
      <c r="L10" s="5">
        <f>($Z$5-$Z$8+$Z$8*(K10/'Economic Assumptions'!$D$29))/'OAT Scenario Curves'!$Z$4</f>
        <v>21.012168386104211</v>
      </c>
      <c r="M10" s="5">
        <f t="shared" si="9"/>
        <v>-9.2904492461308052E-2</v>
      </c>
      <c r="N10" s="1" t="str">
        <f t="shared" si="0"/>
        <v>Case 1</v>
      </c>
      <c r="P10" s="27">
        <f>P13*0.7</f>
        <v>4.1999999999999996E-2</v>
      </c>
      <c r="Q10" s="5">
        <f>($Z$5-INDEX('Annualized Costs'!$B$4:$E$4,1,$Z$3)-INDEX('Annualized Costs'!$B$5:$E$5,1,$Z$3)-INDEX('Annualized Costs'!$B$6:$E$6,1,$Z$3)-INDEX('Annualized Costs'!$B$9:$E$9,1,$Z$3)-INDEX('Annualized Costs'!$B$10:$E$10,1,$Z$3)+INDEX('Annualized Costs'!$B$4:$E$4,1,$Z$3)*((P10*(1+P10)^'Economic Assumptions'!$D$8/((1+P10)^'Economic Assumptions'!$D$8-1))/('Economic Assumptions'!$D$4*(1+'Economic Assumptions'!$D$4)^'Economic Assumptions'!$D$8/((1+'Economic Assumptions'!$D$4)^'Economic Assumptions'!$D$8-1)))+INDEX('Annualized Costs'!$B$5:$E$5,1,$Z$3)*((P10*(1+P10)^'Economic Assumptions'!$D$14/((1+P10)^'Economic Assumptions'!$D$14-1))/('Economic Assumptions'!$D$4*(1+'Economic Assumptions'!$D$4)^'Economic Assumptions'!$D$14/((1+'Economic Assumptions'!$D$4)^'Economic Assumptions'!$D$14-1)))+INDEX('Annualized Costs'!$B$6:$E$6,1,$Z$3)*((P10*(1+P10)^'Economic Assumptions'!$D$20/((1+P10)^'Economic Assumptions'!$D$20-1))/('Economic Assumptions'!$D$4*(1+'Economic Assumptions'!$D$4)^'Economic Assumptions'!$D$20/((1+'Economic Assumptions'!$D$4)^'Economic Assumptions'!$D$20-1)))+(INDEX('Annualized Costs'!$B$9:$E$9,1,$Z$3)+INDEX('Annualized Costs'!$B$10:$E$10,1,$Z$3))*((P10*(1+P10)^'Economic Assumptions'!$D$25/((1+P10)^'Economic Assumptions'!$D$25-1))/('Economic Assumptions'!$D$4*(1+'Economic Assumptions'!$D$4)^'Economic Assumptions'!$D$25/((1+'Economic Assumptions'!$D$4)^'Economic Assumptions'!$D$25-1))))/$Z$4</f>
        <v>18.945726298497949</v>
      </c>
      <c r="R10" s="5">
        <f t="shared" si="1"/>
        <v>-2.1593465800675702</v>
      </c>
      <c r="S10" s="1" t="str">
        <f t="shared" si="2"/>
        <v>Case 1</v>
      </c>
      <c r="U10" s="1">
        <f t="shared" ref="U10:U12" si="13">U9+0.1</f>
        <v>0.7</v>
      </c>
      <c r="V10" s="5">
        <f t="shared" si="10"/>
        <v>19.958820170006472</v>
      </c>
      <c r="W10" s="5">
        <f t="shared" si="3"/>
        <v>-1.1462527085590466</v>
      </c>
      <c r="X10" s="1" t="str">
        <f t="shared" si="4"/>
        <v>Case 1</v>
      </c>
    </row>
    <row r="11" spans="1:26">
      <c r="A11" s="1">
        <f t="shared" si="11"/>
        <v>0.79999999999999993</v>
      </c>
      <c r="B11" s="5" cm="1">
        <f t="array" ref="B11">($Z$5-INDEX('Annualized Costs'!$B$5:$E$5,1,$Z$3)+INDEX('Annualized Costs'!$B$5:$E$5,1,$Z$3)*A11)/$Z$4</f>
        <v>19.688205755431422</v>
      </c>
      <c r="C11" s="5">
        <f t="shared" si="5"/>
        <v>-1.4168671231340966</v>
      </c>
      <c r="D11" s="1" t="str">
        <f t="shared" si="6"/>
        <v>Case 1</v>
      </c>
      <c r="F11" s="1">
        <f t="shared" si="12"/>
        <v>0.79999999999999993</v>
      </c>
      <c r="G11" s="5" cm="1">
        <f t="array" ref="G11">($Z$5-INDEX('Annualized Costs'!$B$4:$E$4,1,$Z$3)+INDEX('Annualized Costs'!$B$4:$E$4,1,$Z$3)*F11)/$Z$4</f>
        <v>19.833782766773417</v>
      </c>
      <c r="H11" s="5">
        <f t="shared" si="7"/>
        <v>-1.2712901117921014</v>
      </c>
      <c r="I11" s="1" t="str">
        <f t="shared" si="8"/>
        <v>Case 1</v>
      </c>
      <c r="K11" s="1">
        <v>55.52</v>
      </c>
      <c r="L11" s="5">
        <f>($Z$5-$Z$8+$Z$8*(K11/'Economic Assumptions'!$D$29))/'OAT Scenario Curves'!$Z$4</f>
        <v>21.105072878565519</v>
      </c>
      <c r="M11" s="5">
        <f t="shared" si="9"/>
        <v>0</v>
      </c>
      <c r="N11" s="1" t="str">
        <f t="shared" si="0"/>
        <v>Case 1</v>
      </c>
      <c r="P11" s="27">
        <f>P13*0.8</f>
        <v>4.8000000000000001E-2</v>
      </c>
      <c r="Q11" s="5">
        <f>($Z$5-INDEX('Annualized Costs'!$B$4:$E$4,1,$Z$3)-INDEX('Annualized Costs'!$B$5:$E$5,1,$Z$3)-INDEX('Annualized Costs'!$B$6:$E$6,1,$Z$3)-INDEX('Annualized Costs'!$B$9:$E$9,1,$Z$3)-INDEX('Annualized Costs'!$B$10:$E$10,1,$Z$3)+INDEX('Annualized Costs'!$B$4:$E$4,1,$Z$3)*((P11*(1+P11)^'Economic Assumptions'!$D$8/((1+P11)^'Economic Assumptions'!$D$8-1))/('Economic Assumptions'!$D$4*(1+'Economic Assumptions'!$D$4)^'Economic Assumptions'!$D$8/((1+'Economic Assumptions'!$D$4)^'Economic Assumptions'!$D$8-1)))+INDEX('Annualized Costs'!$B$5:$E$5,1,$Z$3)*((P11*(1+P11)^'Economic Assumptions'!$D$14/((1+P11)^'Economic Assumptions'!$D$14-1))/('Economic Assumptions'!$D$4*(1+'Economic Assumptions'!$D$4)^'Economic Assumptions'!$D$14/((1+'Economic Assumptions'!$D$4)^'Economic Assumptions'!$D$14-1)))+INDEX('Annualized Costs'!$B$6:$E$6,1,$Z$3)*((P11*(1+P11)^'Economic Assumptions'!$D$20/((1+P11)^'Economic Assumptions'!$D$20-1))/('Economic Assumptions'!$D$4*(1+'Economic Assumptions'!$D$4)^'Economic Assumptions'!$D$20/((1+'Economic Assumptions'!$D$4)^'Economic Assumptions'!$D$20-1)))+(INDEX('Annualized Costs'!$B$9:$E$9,1,$Z$3)+INDEX('Annualized Costs'!$B$10:$E$10,1,$Z$3))*((P11*(1+P11)^'Economic Assumptions'!$D$25/((1+P11)^'Economic Assumptions'!$D$25-1))/('Economic Assumptions'!$D$4*(1+'Economic Assumptions'!$D$4)^'Economic Assumptions'!$D$25/((1+'Economic Assumptions'!$D$4)^'Economic Assumptions'!$D$25-1))))/$Z$4</f>
        <v>19.646566049180574</v>
      </c>
      <c r="R11" s="5">
        <f t="shared" si="1"/>
        <v>-1.4585068293849446</v>
      </c>
      <c r="S11" s="1" t="str">
        <f t="shared" si="2"/>
        <v>Case 1</v>
      </c>
      <c r="U11" s="1">
        <f t="shared" si="13"/>
        <v>0.79999999999999993</v>
      </c>
      <c r="V11" s="5">
        <f t="shared" si="10"/>
        <v>20.34090440619282</v>
      </c>
      <c r="W11" s="5">
        <f t="shared" si="3"/>
        <v>-0.76416847237269891</v>
      </c>
      <c r="X11" s="1" t="str">
        <f t="shared" si="4"/>
        <v>Case 1</v>
      </c>
    </row>
    <row r="12" spans="1:26">
      <c r="A12" s="1">
        <f t="shared" si="11"/>
        <v>0.89999999999999991</v>
      </c>
      <c r="B12" s="5" cm="1">
        <f t="array" ref="B12">($Z$5-INDEX('Annualized Costs'!$B$5:$E$5,1,$Z$3)+INDEX('Annualized Costs'!$B$5:$E$5,1,$Z$3)*A12)/$Z$4</f>
        <v>20.396639316998471</v>
      </c>
      <c r="C12" s="5">
        <f t="shared" si="5"/>
        <v>-0.70843356156704829</v>
      </c>
      <c r="D12" s="1" t="str">
        <f t="shared" si="6"/>
        <v>Case 1</v>
      </c>
      <c r="F12" s="1">
        <f t="shared" si="12"/>
        <v>0.89999999999999991</v>
      </c>
      <c r="G12" s="5" cm="1">
        <f t="array" ref="G12">($Z$5-INDEX('Annualized Costs'!$B$4:$E$4,1,$Z$3)+INDEX('Annualized Costs'!$B$4:$E$4,1,$Z$3)*F12)/$Z$4</f>
        <v>20.46942782266947</v>
      </c>
      <c r="H12" s="5">
        <f t="shared" si="7"/>
        <v>-0.63564505589604892</v>
      </c>
      <c r="I12" s="1" t="str">
        <f t="shared" si="8"/>
        <v>Case 1</v>
      </c>
      <c r="K12" s="1">
        <v>57</v>
      </c>
      <c r="L12" s="5">
        <f>($Z$5-$Z$8+$Z$8*(K12/'Economic Assumptions'!$D$29))/'OAT Scenario Curves'!$Z$4</f>
        <v>21.195532515962057</v>
      </c>
      <c r="M12" s="5">
        <f t="shared" si="9"/>
        <v>9.0459637396538284E-2</v>
      </c>
      <c r="N12" s="1" t="str">
        <f t="shared" si="0"/>
        <v>Case 1</v>
      </c>
      <c r="P12" s="27">
        <f>P13*0.9</f>
        <v>5.3999999999999999E-2</v>
      </c>
      <c r="Q12" s="5">
        <f>($Z$5-INDEX('Annualized Costs'!$B$4:$E$4,1,$Z$3)-INDEX('Annualized Costs'!$B$5:$E$5,1,$Z$3)-INDEX('Annualized Costs'!$B$6:$E$6,1,$Z$3)-INDEX('Annualized Costs'!$B$9:$E$9,1,$Z$3)-INDEX('Annualized Costs'!$B$10:$E$10,1,$Z$3)+INDEX('Annualized Costs'!$B$4:$E$4,1,$Z$3)*((P12*(1+P12)^'Economic Assumptions'!$D$8/((1+P12)^'Economic Assumptions'!$D$8-1))/('Economic Assumptions'!$D$4*(1+'Economic Assumptions'!$D$4)^'Economic Assumptions'!$D$8/((1+'Economic Assumptions'!$D$4)^'Economic Assumptions'!$D$8-1)))+INDEX('Annualized Costs'!$B$5:$E$5,1,$Z$3)*((P12*(1+P12)^'Economic Assumptions'!$D$14/((1+P12)^'Economic Assumptions'!$D$14-1))/('Economic Assumptions'!$D$4*(1+'Economic Assumptions'!$D$4)^'Economic Assumptions'!$D$14/((1+'Economic Assumptions'!$D$4)^'Economic Assumptions'!$D$14-1)))+INDEX('Annualized Costs'!$B$6:$E$6,1,$Z$3)*((P12*(1+P12)^'Economic Assumptions'!$D$20/((1+P12)^'Economic Assumptions'!$D$20-1))/('Economic Assumptions'!$D$4*(1+'Economic Assumptions'!$D$4)^'Economic Assumptions'!$D$20/((1+'Economic Assumptions'!$D$4)^'Economic Assumptions'!$D$20-1)))+(INDEX('Annualized Costs'!$B$9:$E$9,1,$Z$3)+INDEX('Annualized Costs'!$B$10:$E$10,1,$Z$3))*((P12*(1+P12)^'Economic Assumptions'!$D$25/((1+P12)^'Economic Assumptions'!$D$25-1))/('Economic Assumptions'!$D$4*(1+'Economic Assumptions'!$D$4)^'Economic Assumptions'!$D$25/((1+'Economic Assumptions'!$D$4)^'Economic Assumptions'!$D$25-1))))/$Z$4</f>
        <v>20.366580994212068</v>
      </c>
      <c r="R12" s="5">
        <f t="shared" si="1"/>
        <v>-0.7384918843534507</v>
      </c>
      <c r="S12" s="1" t="str">
        <f t="shared" si="2"/>
        <v>Case 1</v>
      </c>
      <c r="U12" s="1">
        <f t="shared" si="13"/>
        <v>0.89999999999999991</v>
      </c>
      <c r="V12" s="5">
        <f t="shared" si="10"/>
        <v>20.722988642379171</v>
      </c>
      <c r="W12" s="5">
        <f t="shared" si="3"/>
        <v>-0.38208423618634768</v>
      </c>
      <c r="X12" s="1" t="str">
        <f t="shared" si="4"/>
        <v>Case 1</v>
      </c>
    </row>
    <row r="13" spans="1:26">
      <c r="A13" s="1">
        <f>A12+0.1</f>
        <v>0.99999999999999989</v>
      </c>
      <c r="B13" s="5" cm="1">
        <f t="array" ref="B13">($Z$5-INDEX('Annualized Costs'!$B$5:$E$5,1,$Z$3)+INDEX('Annualized Costs'!$B$5:$E$5,1,$Z$3)*A13)/$Z$4</f>
        <v>21.105072878565519</v>
      </c>
      <c r="C13" s="5">
        <f t="shared" si="5"/>
        <v>0</v>
      </c>
      <c r="D13" s="1" t="str">
        <f t="shared" si="6"/>
        <v>Case 1</v>
      </c>
      <c r="F13" s="1">
        <f>F12+0.1</f>
        <v>0.99999999999999989</v>
      </c>
      <c r="G13" s="5" cm="1">
        <f t="array" ref="G13">($Z$5-INDEX('Annualized Costs'!$B$4:$E$4,1,$Z$3)+INDEX('Annualized Costs'!$B$4:$E$4,1,$Z$3)*F13)/$Z$4</f>
        <v>21.105072878565519</v>
      </c>
      <c r="H13" s="5">
        <f t="shared" si="7"/>
        <v>0</v>
      </c>
      <c r="I13" s="1" t="str">
        <f t="shared" si="8"/>
        <v>Case 1</v>
      </c>
      <c r="K13" s="1">
        <v>59</v>
      </c>
      <c r="L13" s="5">
        <f>($Z$5-$Z$8+$Z$8*(K13/'Economic Assumptions'!$D$29))/'OAT Scenario Curves'!$Z$4</f>
        <v>21.31777526920062</v>
      </c>
      <c r="M13" s="5">
        <f t="shared" si="9"/>
        <v>0.21270239063510132</v>
      </c>
      <c r="N13" s="1" t="str">
        <f t="shared" si="0"/>
        <v>Case 1</v>
      </c>
      <c r="P13" s="26">
        <v>0.06</v>
      </c>
      <c r="Q13" s="5">
        <f>($Z$5-INDEX('Annualized Costs'!$B$4:$E$4,1,$Z$3)-INDEX('Annualized Costs'!$B$5:$E$5,1,$Z$3)-INDEX('Annualized Costs'!$B$6:$E$6,1,$Z$3)-INDEX('Annualized Costs'!$B$9:$E$9,1,$Z$3)-INDEX('Annualized Costs'!$B$10:$E$10,1,$Z$3)+INDEX('Annualized Costs'!$B$4:$E$4,1,$Z$3)*((P13*(1+P13)^'Economic Assumptions'!$D$8/((1+P13)^'Economic Assumptions'!$D$8-1))/('Economic Assumptions'!$D$4*(1+'Economic Assumptions'!$D$4)^'Economic Assumptions'!$D$8/((1+'Economic Assumptions'!$D$4)^'Economic Assumptions'!$D$8-1)))+INDEX('Annualized Costs'!$B$5:$E$5,1,$Z$3)*((P13*(1+P13)^'Economic Assumptions'!$D$14/((1+P13)^'Economic Assumptions'!$D$14-1))/('Economic Assumptions'!$D$4*(1+'Economic Assumptions'!$D$4)^'Economic Assumptions'!$D$14/((1+'Economic Assumptions'!$D$4)^'Economic Assumptions'!$D$14-1)))+INDEX('Annualized Costs'!$B$6:$E$6,1,$Z$3)*((P13*(1+P13)^'Economic Assumptions'!$D$20/((1+P13)^'Economic Assumptions'!$D$20-1))/('Economic Assumptions'!$D$4*(1+'Economic Assumptions'!$D$4)^'Economic Assumptions'!$D$20/((1+'Economic Assumptions'!$D$4)^'Economic Assumptions'!$D$20-1)))+(INDEX('Annualized Costs'!$B$9:$E$9,1,$Z$3)+INDEX('Annualized Costs'!$B$10:$E$10,1,$Z$3))*((P13*(1+P13)^'Economic Assumptions'!$D$25/((1+P13)^'Economic Assumptions'!$D$25-1))/('Economic Assumptions'!$D$4*(1+'Economic Assumptions'!$D$4)^'Economic Assumptions'!$D$25/((1+'Economic Assumptions'!$D$4)^'Economic Assumptions'!$D$25-1))))/$Z$4</f>
        <v>21.105072878565522</v>
      </c>
      <c r="R13" s="5">
        <f>Q13-$B$4</f>
        <v>0</v>
      </c>
      <c r="S13" s="1" t="str">
        <f t="shared" si="2"/>
        <v>Case 1</v>
      </c>
      <c r="U13" s="1">
        <f>U12+0.1</f>
        <v>0.99999999999999989</v>
      </c>
      <c r="V13" s="5">
        <f t="shared" si="10"/>
        <v>21.105072878565519</v>
      </c>
      <c r="W13" s="5">
        <f t="shared" si="3"/>
        <v>0</v>
      </c>
      <c r="X13" s="1" t="str">
        <f t="shared" si="4"/>
        <v>Case 1</v>
      </c>
    </row>
    <row r="14" spans="1:26">
      <c r="A14" s="1">
        <f>A13+0.1</f>
        <v>1.0999999999999999</v>
      </c>
      <c r="B14" s="5" cm="1">
        <f t="array" ref="B14">($Z$5-INDEX('Annualized Costs'!$B$5:$E$5,1,$Z$3)+INDEX('Annualized Costs'!$B$5:$E$5,1,$Z$3)*A14)/$Z$4</f>
        <v>21.813506440132567</v>
      </c>
      <c r="C14" s="5">
        <f t="shared" si="5"/>
        <v>0.70843356156704829</v>
      </c>
      <c r="D14" s="1" t="str">
        <f t="shared" si="6"/>
        <v>Case 1</v>
      </c>
      <c r="F14" s="1">
        <f>F13+0.1</f>
        <v>1.0999999999999999</v>
      </c>
      <c r="G14" s="5" cm="1">
        <f t="array" ref="G14">($Z$5-INDEX('Annualized Costs'!$B$4:$E$4,1,$Z$3)+INDEX('Annualized Costs'!$B$4:$E$4,1,$Z$3)*F14)/$Z$4</f>
        <v>21.740717934461571</v>
      </c>
      <c r="H14" s="5">
        <f t="shared" si="7"/>
        <v>0.63564505589605247</v>
      </c>
      <c r="I14" s="1" t="str">
        <f t="shared" si="8"/>
        <v>Case 1</v>
      </c>
      <c r="K14" s="1">
        <v>61</v>
      </c>
      <c r="L14" s="5">
        <f>($Z$5-$Z$8+$Z$8*(K14/'Economic Assumptions'!$D$29))/'OAT Scenario Curves'!$Z$4</f>
        <v>21.44001802243918</v>
      </c>
      <c r="M14" s="5">
        <f t="shared" si="9"/>
        <v>0.33494514387366081</v>
      </c>
      <c r="N14" s="1" t="str">
        <f t="shared" si="0"/>
        <v>Case 1</v>
      </c>
      <c r="P14" s="27">
        <f>P13*1.1</f>
        <v>6.6000000000000003E-2</v>
      </c>
      <c r="Q14" s="5">
        <f>($Z$5-INDEX('Annualized Costs'!$B$4:$E$4,1,$Z$3)-INDEX('Annualized Costs'!$B$5:$E$5,1,$Z$3)-INDEX('Annualized Costs'!$B$6:$E$6,1,$Z$3)-INDEX('Annualized Costs'!$B$9:$E$9,1,$Z$3)-INDEX('Annualized Costs'!$B$10:$E$10,1,$Z$3)+INDEX('Annualized Costs'!$B$4:$E$4,1,$Z$3)*((P14*(1+P14)^'Economic Assumptions'!$D$8/((1+P14)^'Economic Assumptions'!$D$8-1))/('Economic Assumptions'!$D$4*(1+'Economic Assumptions'!$D$4)^'Economic Assumptions'!$D$8/((1+'Economic Assumptions'!$D$4)^'Economic Assumptions'!$D$8-1)))+INDEX('Annualized Costs'!$B$5:$E$5,1,$Z$3)*((P14*(1+P14)^'Economic Assumptions'!$D$14/((1+P14)^'Economic Assumptions'!$D$14-1))/('Economic Assumptions'!$D$4*(1+'Economic Assumptions'!$D$4)^'Economic Assumptions'!$D$14/((1+'Economic Assumptions'!$D$4)^'Economic Assumptions'!$D$14-1)))+INDEX('Annualized Costs'!$B$6:$E$6,1,$Z$3)*((P14*(1+P14)^'Economic Assumptions'!$D$20/((1+P14)^'Economic Assumptions'!$D$20-1))/('Economic Assumptions'!$D$4*(1+'Economic Assumptions'!$D$4)^'Economic Assumptions'!$D$20/((1+'Economic Assumptions'!$D$4)^'Economic Assumptions'!$D$20-1)))+(INDEX('Annualized Costs'!$B$9:$E$9,1,$Z$3)+INDEX('Annualized Costs'!$B$10:$E$10,1,$Z$3))*((P14*(1+P14)^'Economic Assumptions'!$D$25/((1+P14)^'Economic Assumptions'!$D$25-1))/('Economic Assumptions'!$D$4*(1+'Economic Assumptions'!$D$4)^'Economic Assumptions'!$D$25/((1+'Economic Assumptions'!$D$4)^'Economic Assumptions'!$D$25-1))))/$Z$4</f>
        <v>21.861318903323845</v>
      </c>
      <c r="R14" s="5">
        <f>Q14-$B$4</f>
        <v>0.75624602475832603</v>
      </c>
      <c r="S14" s="1" t="str">
        <f t="shared" si="2"/>
        <v>Case 1</v>
      </c>
      <c r="U14" s="1">
        <f>U13+0.1</f>
        <v>1.0999999999999999</v>
      </c>
      <c r="V14" s="5">
        <f t="shared" si="10"/>
        <v>21.487157114751867</v>
      </c>
      <c r="W14" s="5">
        <f t="shared" si="3"/>
        <v>0.38208423618634768</v>
      </c>
      <c r="X14" s="1" t="str">
        <f t="shared" si="4"/>
        <v>Case 1</v>
      </c>
    </row>
    <row r="15" spans="1:26">
      <c r="A15" s="1">
        <f t="shared" ref="A15:A18" si="14">A14+0.1</f>
        <v>1.2</v>
      </c>
      <c r="B15" s="5" cm="1">
        <f t="array" ref="B15">($Z$5-INDEX('Annualized Costs'!$B$5:$E$5,1,$Z$3)+INDEX('Annualized Costs'!$B$5:$E$5,1,$Z$3)*A15)/$Z$4</f>
        <v>22.521940001699615</v>
      </c>
      <c r="C15" s="5">
        <f t="shared" si="5"/>
        <v>1.4168671231340966</v>
      </c>
      <c r="D15" s="1" t="str">
        <f t="shared" si="6"/>
        <v>Case 1</v>
      </c>
      <c r="F15" s="1">
        <f t="shared" ref="F15:F18" si="15">F14+0.1</f>
        <v>1.2</v>
      </c>
      <c r="G15" s="5" cm="1">
        <f t="array" ref="G15">($Z$5-INDEX('Annualized Costs'!$B$4:$E$4,1,$Z$3)+INDEX('Annualized Costs'!$B$4:$E$4,1,$Z$3)*F15)/$Z$4</f>
        <v>22.37636299035762</v>
      </c>
      <c r="H15" s="5">
        <f t="shared" si="7"/>
        <v>1.2712901117921014</v>
      </c>
      <c r="I15" s="1" t="str">
        <f t="shared" si="8"/>
        <v>Case 1</v>
      </c>
      <c r="P15" s="27">
        <f>P13*1.2</f>
        <v>7.1999999999999995E-2</v>
      </c>
      <c r="Q15" s="5">
        <f>($Z$5-INDEX('Annualized Costs'!$B$4:$E$4,1,$Z$3)-INDEX('Annualized Costs'!$B$5:$E$5,1,$Z$3)-INDEX('Annualized Costs'!$B$6:$E$6,1,$Z$3)-INDEX('Annualized Costs'!$B$9:$E$9,1,$Z$3)-INDEX('Annualized Costs'!$B$10:$E$10,1,$Z$3)+INDEX('Annualized Costs'!$B$4:$E$4,1,$Z$3)*((P15*(1+P15)^'Economic Assumptions'!$D$8/((1+P15)^'Economic Assumptions'!$D$8-1))/('Economic Assumptions'!$D$4*(1+'Economic Assumptions'!$D$4)^'Economic Assumptions'!$D$8/((1+'Economic Assumptions'!$D$4)^'Economic Assumptions'!$D$8-1)))+INDEX('Annualized Costs'!$B$5:$E$5,1,$Z$3)*((P15*(1+P15)^'Economic Assumptions'!$D$14/((1+P15)^'Economic Assumptions'!$D$14-1))/('Economic Assumptions'!$D$4*(1+'Economic Assumptions'!$D$4)^'Economic Assumptions'!$D$14/((1+'Economic Assumptions'!$D$4)^'Economic Assumptions'!$D$14-1)))+INDEX('Annualized Costs'!$B$6:$E$6,1,$Z$3)*((P15*(1+P15)^'Economic Assumptions'!$D$20/((1+P15)^'Economic Assumptions'!$D$20-1))/('Economic Assumptions'!$D$4*(1+'Economic Assumptions'!$D$4)^'Economic Assumptions'!$D$20/((1+'Economic Assumptions'!$D$4)^'Economic Assumptions'!$D$20-1)))+(INDEX('Annualized Costs'!$B$9:$E$9,1,$Z$3)+INDEX('Annualized Costs'!$B$10:$E$10,1,$Z$3))*((P15*(1+P15)^'Economic Assumptions'!$D$25/((1+P15)^'Economic Assumptions'!$D$25-1))/('Economic Assumptions'!$D$4*(1+'Economic Assumptions'!$D$4)^'Economic Assumptions'!$D$25/((1+'Economic Assumptions'!$D$4)^'Economic Assumptions'!$D$25-1))))/$Z$4</f>
        <v>22.634578637436103</v>
      </c>
      <c r="R15" s="5">
        <f>Q15-$B$4</f>
        <v>1.5295057588705845</v>
      </c>
      <c r="S15" s="1" t="str">
        <f t="shared" si="2"/>
        <v>Case 1</v>
      </c>
      <c r="U15" s="1">
        <f t="shared" ref="U15:U18" si="16">U14+0.1</f>
        <v>1.2</v>
      </c>
      <c r="V15" s="5">
        <f t="shared" si="10"/>
        <v>21.869241350938218</v>
      </c>
      <c r="W15" s="5">
        <f t="shared" si="3"/>
        <v>0.76416847237269891</v>
      </c>
      <c r="X15" s="1" t="str">
        <f t="shared" si="4"/>
        <v>Case 1</v>
      </c>
    </row>
    <row r="16" spans="1:26">
      <c r="A16" s="1">
        <f t="shared" si="14"/>
        <v>1.3</v>
      </c>
      <c r="B16" s="5" cm="1">
        <f t="array" ref="B16">($Z$5-INDEX('Annualized Costs'!$B$5:$E$5,1,$Z$3)+INDEX('Annualized Costs'!$B$5:$E$5,1,$Z$3)*A16)/$Z$4</f>
        <v>23.230373563266664</v>
      </c>
      <c r="C16" s="5">
        <f t="shared" si="5"/>
        <v>2.1253006847011449</v>
      </c>
      <c r="D16" s="1" t="str">
        <f t="shared" si="6"/>
        <v>Case 1</v>
      </c>
      <c r="F16" s="1">
        <f t="shared" si="15"/>
        <v>1.3</v>
      </c>
      <c r="G16" s="5" cm="1">
        <f t="array" ref="G16">($Z$5-INDEX('Annualized Costs'!$B$4:$E$4,1,$Z$3)+INDEX('Annualized Costs'!$B$4:$E$4,1,$Z$3)*F16)/$Z$4</f>
        <v>23.012008046253673</v>
      </c>
      <c r="H16" s="5">
        <f t="shared" si="7"/>
        <v>1.9069351676881539</v>
      </c>
      <c r="I16" s="1" t="str">
        <f t="shared" si="8"/>
        <v>Case 1</v>
      </c>
      <c r="P16" s="27">
        <f>P13*1.3</f>
        <v>7.8E-2</v>
      </c>
      <c r="Q16" s="5">
        <f>($Z$5-INDEX('Annualized Costs'!$B$4:$E$4,1,$Z$3)-INDEX('Annualized Costs'!$B$5:$E$5,1,$Z$3)-INDEX('Annualized Costs'!$B$6:$E$6,1,$Z$3)-INDEX('Annualized Costs'!$B$9:$E$9,1,$Z$3)-INDEX('Annualized Costs'!$B$10:$E$10,1,$Z$3)+INDEX('Annualized Costs'!$B$4:$E$4,1,$Z$3)*((P16*(1+P16)^'Economic Assumptions'!$D$8/((1+P16)^'Economic Assumptions'!$D$8-1))/('Economic Assumptions'!$D$4*(1+'Economic Assumptions'!$D$4)^'Economic Assumptions'!$D$8/((1+'Economic Assumptions'!$D$4)^'Economic Assumptions'!$D$8-1)))+INDEX('Annualized Costs'!$B$5:$E$5,1,$Z$3)*((P16*(1+P16)^'Economic Assumptions'!$D$14/((1+P16)^'Economic Assumptions'!$D$14-1))/('Economic Assumptions'!$D$4*(1+'Economic Assumptions'!$D$4)^'Economic Assumptions'!$D$14/((1+'Economic Assumptions'!$D$4)^'Economic Assumptions'!$D$14-1)))+INDEX('Annualized Costs'!$B$6:$E$6,1,$Z$3)*((P16*(1+P16)^'Economic Assumptions'!$D$20/((1+P16)^'Economic Assumptions'!$D$20-1))/('Economic Assumptions'!$D$4*(1+'Economic Assumptions'!$D$4)^'Economic Assumptions'!$D$20/((1+'Economic Assumptions'!$D$4)^'Economic Assumptions'!$D$20-1)))+(INDEX('Annualized Costs'!$B$9:$E$9,1,$Z$3)+INDEX('Annualized Costs'!$B$10:$E$10,1,$Z$3))*((P16*(1+P16)^'Economic Assumptions'!$D$25/((1+P16)^'Economic Assumptions'!$D$25-1))/('Economic Assumptions'!$D$4*(1+'Economic Assumptions'!$D$4)^'Economic Assumptions'!$D$25/((1+'Economic Assumptions'!$D$4)^'Economic Assumptions'!$D$25-1))))/$Z$4</f>
        <v>23.424100557507561</v>
      </c>
      <c r="R16" s="5">
        <f t="shared" ref="R16:R17" si="17">Q16-$B$4</f>
        <v>2.3190276789420423</v>
      </c>
      <c r="S16" s="1" t="str">
        <f t="shared" si="2"/>
        <v>Case 1</v>
      </c>
      <c r="U16" s="1">
        <f t="shared" si="16"/>
        <v>1.3</v>
      </c>
      <c r="V16" s="5">
        <f t="shared" si="10"/>
        <v>22.251325587124569</v>
      </c>
      <c r="W16" s="5">
        <f t="shared" si="3"/>
        <v>1.1462527085590501</v>
      </c>
      <c r="X16" s="1" t="str">
        <f t="shared" si="4"/>
        <v>Case 1</v>
      </c>
    </row>
    <row r="17" spans="1:24">
      <c r="A17" s="1">
        <f t="shared" si="14"/>
        <v>1.4000000000000001</v>
      </c>
      <c r="B17" s="5" cm="1">
        <f t="array" ref="B17">($Z$5-INDEX('Annualized Costs'!$B$5:$E$5,1,$Z$3)+INDEX('Annualized Costs'!$B$5:$E$5,1,$Z$3)*A17)/$Z$4</f>
        <v>23.938807124833716</v>
      </c>
      <c r="C17" s="5">
        <f t="shared" si="5"/>
        <v>2.8337342462681967</v>
      </c>
      <c r="D17" s="1" t="str">
        <f t="shared" si="6"/>
        <v>Case 1</v>
      </c>
      <c r="F17" s="1">
        <f t="shared" si="15"/>
        <v>1.4000000000000001</v>
      </c>
      <c r="G17" s="5" cm="1">
        <f t="array" ref="G17">($Z$5-INDEX('Annualized Costs'!$B$4:$E$4,1,$Z$3)+INDEX('Annualized Costs'!$B$4:$E$4,1,$Z$3)*F17)/$Z$4</f>
        <v>23.647653102149722</v>
      </c>
      <c r="H17" s="5">
        <f t="shared" si="7"/>
        <v>2.5425802235842028</v>
      </c>
      <c r="I17" s="1" t="str">
        <f t="shared" si="8"/>
        <v>Case 1</v>
      </c>
      <c r="P17" s="27">
        <f>P13*1.4</f>
        <v>8.3999999999999991E-2</v>
      </c>
      <c r="Q17" s="5">
        <f>($Z$5-INDEX('Annualized Costs'!$B$4:$E$4,1,$Z$3)-INDEX('Annualized Costs'!$B$5:$E$5,1,$Z$3)-INDEX('Annualized Costs'!$B$6:$E$6,1,$Z$3)-INDEX('Annualized Costs'!$B$9:$E$9,1,$Z$3)-INDEX('Annualized Costs'!$B$10:$E$10,1,$Z$3)+INDEX('Annualized Costs'!$B$4:$E$4,1,$Z$3)*((P17*(1+P17)^'Economic Assumptions'!$D$8/((1+P17)^'Economic Assumptions'!$D$8-1))/('Economic Assumptions'!$D$4*(1+'Economic Assumptions'!$D$4)^'Economic Assumptions'!$D$8/((1+'Economic Assumptions'!$D$4)^'Economic Assumptions'!$D$8-1)))+INDEX('Annualized Costs'!$B$5:$E$5,1,$Z$3)*((P17*(1+P17)^'Economic Assumptions'!$D$14/((1+P17)^'Economic Assumptions'!$D$14-1))/('Economic Assumptions'!$D$4*(1+'Economic Assumptions'!$D$4)^'Economic Assumptions'!$D$14/((1+'Economic Assumptions'!$D$4)^'Economic Assumptions'!$D$14-1)))+INDEX('Annualized Costs'!$B$6:$E$6,1,$Z$3)*((P17*(1+P17)^'Economic Assumptions'!$D$20/((1+P17)^'Economic Assumptions'!$D$20-1))/('Economic Assumptions'!$D$4*(1+'Economic Assumptions'!$D$4)^'Economic Assumptions'!$D$20/((1+'Economic Assumptions'!$D$4)^'Economic Assumptions'!$D$20-1)))+(INDEX('Annualized Costs'!$B$9:$E$9,1,$Z$3)+INDEX('Annualized Costs'!$B$10:$E$10,1,$Z$3))*((P17*(1+P17)^'Economic Assumptions'!$D$25/((1+P17)^'Economic Assumptions'!$D$25-1))/('Economic Assumptions'!$D$4*(1+'Economic Assumptions'!$D$4)^'Economic Assumptions'!$D$25/((1+'Economic Assumptions'!$D$4)^'Economic Assumptions'!$D$25-1))))/$Z$4</f>
        <v>24.229128139875229</v>
      </c>
      <c r="R17" s="5">
        <f t="shared" si="17"/>
        <v>3.1240552613097101</v>
      </c>
      <c r="S17" s="1" t="str">
        <f t="shared" si="2"/>
        <v>Case 1</v>
      </c>
      <c r="U17" s="1">
        <f t="shared" si="16"/>
        <v>1.4000000000000001</v>
      </c>
      <c r="V17" s="5">
        <f t="shared" si="10"/>
        <v>22.633409823310913</v>
      </c>
      <c r="W17" s="5">
        <f t="shared" si="3"/>
        <v>1.5283369447453943</v>
      </c>
      <c r="X17" s="1" t="str">
        <f t="shared" si="4"/>
        <v>Case 1</v>
      </c>
    </row>
    <row r="18" spans="1:24">
      <c r="A18" s="1">
        <f t="shared" si="14"/>
        <v>1.5000000000000002</v>
      </c>
      <c r="B18" s="5" cm="1">
        <f t="array" ref="B18">($Z$5-INDEX('Annualized Costs'!$B$5:$E$5,1,$Z$3)+INDEX('Annualized Costs'!$B$5:$E$5,1,$Z$3)*A18)/$Z$4</f>
        <v>24.64724068640076</v>
      </c>
      <c r="C18" s="5">
        <f t="shared" si="5"/>
        <v>3.5421678078352414</v>
      </c>
      <c r="D18" s="1" t="str">
        <f t="shared" si="6"/>
        <v>Case 1</v>
      </c>
      <c r="F18" s="1">
        <f t="shared" si="15"/>
        <v>1.5000000000000002</v>
      </c>
      <c r="G18" s="5" cm="1">
        <f t="array" ref="G18">($Z$5-INDEX('Annualized Costs'!$B$4:$E$4,1,$Z$3)+INDEX('Annualized Costs'!$B$4:$E$4,1,$Z$3)*F18)/$Z$4</f>
        <v>24.283298158045774</v>
      </c>
      <c r="H18" s="5">
        <f t="shared" si="7"/>
        <v>3.1782252794802552</v>
      </c>
      <c r="I18" s="1" t="str">
        <f t="shared" si="8"/>
        <v>Case 1</v>
      </c>
      <c r="P18" s="27">
        <f>P13*1.5</f>
        <v>0.09</v>
      </c>
      <c r="Q18" s="5">
        <f>($Z$5-INDEX('Annualized Costs'!$B$4:$E$4,1,$Z$3)-INDEX('Annualized Costs'!$B$5:$E$5,1,$Z$3)-INDEX('Annualized Costs'!$B$6:$E$6,1,$Z$3)-INDEX('Annualized Costs'!$B$9:$E$9,1,$Z$3)-INDEX('Annualized Costs'!$B$10:$E$10,1,$Z$3)+INDEX('Annualized Costs'!$B$4:$E$4,1,$Z$3)*((P18*(1+P18)^'Economic Assumptions'!$D$8/((1+P18)^'Economic Assumptions'!$D$8-1))/('Economic Assumptions'!$D$4*(1+'Economic Assumptions'!$D$4)^'Economic Assumptions'!$D$8/((1+'Economic Assumptions'!$D$4)^'Economic Assumptions'!$D$8-1)))+INDEX('Annualized Costs'!$B$5:$E$5,1,$Z$3)*((P18*(1+P18)^'Economic Assumptions'!$D$14/((1+P18)^'Economic Assumptions'!$D$14-1))/('Economic Assumptions'!$D$4*(1+'Economic Assumptions'!$D$4)^'Economic Assumptions'!$D$14/((1+'Economic Assumptions'!$D$4)^'Economic Assumptions'!$D$14-1)))+INDEX('Annualized Costs'!$B$6:$E$6,1,$Z$3)*((P18*(1+P18)^'Economic Assumptions'!$D$20/((1+P18)^'Economic Assumptions'!$D$20-1))/('Economic Assumptions'!$D$4*(1+'Economic Assumptions'!$D$4)^'Economic Assumptions'!$D$20/((1+'Economic Assumptions'!$D$4)^'Economic Assumptions'!$D$20-1)))+(INDEX('Annualized Costs'!$B$9:$E$9,1,$Z$3)+INDEX('Annualized Costs'!$B$10:$E$10,1,$Z$3))*((P18*(1+P18)^'Economic Assumptions'!$D$25/((1+P18)^'Economic Assumptions'!$D$25-1))/('Economic Assumptions'!$D$4*(1+'Economic Assumptions'!$D$4)^'Economic Assumptions'!$D$25/((1+'Economic Assumptions'!$D$4)^'Economic Assumptions'!$D$25-1))))/$Z$4</f>
        <v>25.048905448661582</v>
      </c>
      <c r="R18" s="5">
        <f>Q18-$B$4</f>
        <v>3.9438325700960633</v>
      </c>
      <c r="S18" s="1" t="str">
        <f t="shared" si="2"/>
        <v>Case 1</v>
      </c>
      <c r="U18" s="1">
        <f t="shared" si="16"/>
        <v>1.5000000000000002</v>
      </c>
      <c r="V18" s="5">
        <f t="shared" si="10"/>
        <v>23.015494059497264</v>
      </c>
      <c r="W18" s="5">
        <f t="shared" si="3"/>
        <v>1.9104211809317455</v>
      </c>
      <c r="X18" s="1" t="str">
        <f t="shared" si="4"/>
        <v>Case 1</v>
      </c>
    </row>
    <row r="30" spans="1:24">
      <c r="J30" s="22" t="s">
        <v>258</v>
      </c>
      <c r="K30" s="22"/>
      <c r="L30" s="22"/>
      <c r="M30" s="22"/>
      <c r="N30" s="22"/>
      <c r="O30" s="22"/>
      <c r="P30" s="22"/>
      <c r="Q30" s="23"/>
      <c r="R30" s="23"/>
      <c r="S30" s="23"/>
      <c r="T30" s="23"/>
      <c r="U30" s="23"/>
    </row>
    <row r="37" spans="1:27">
      <c r="U37" s="22" t="s">
        <v>259</v>
      </c>
      <c r="V37" s="22"/>
      <c r="W37" s="22"/>
      <c r="X37" s="22"/>
      <c r="Y37" s="22"/>
      <c r="Z37" s="22"/>
      <c r="AA37" s="22"/>
    </row>
    <row r="38" spans="1:27">
      <c r="A38" s="45" t="s">
        <v>260</v>
      </c>
      <c r="B38" s="45"/>
      <c r="C38" s="45"/>
      <c r="D38" s="45"/>
      <c r="E38" s="45"/>
      <c r="F38" s="45"/>
      <c r="U38" s="22" t="s">
        <v>261</v>
      </c>
      <c r="V38" s="22"/>
      <c r="W38" s="22"/>
      <c r="X38" s="22"/>
      <c r="Y38" s="22"/>
      <c r="Z38" s="22"/>
      <c r="AA38" s="22"/>
    </row>
    <row r="40" spans="1:27">
      <c r="U40" s="21" t="s">
        <v>262</v>
      </c>
      <c r="V40" s="21"/>
    </row>
    <row r="41" spans="1:27" ht="11.55" customHeight="1">
      <c r="U41" s="51" t="s">
        <v>263</v>
      </c>
      <c r="V41" s="51"/>
      <c r="W41" s="51"/>
      <c r="X41" s="51"/>
      <c r="Y41" s="51"/>
      <c r="Z41" s="51"/>
      <c r="AA41" s="51"/>
    </row>
    <row r="42" spans="1:27">
      <c r="F42" s="24" t="s">
        <v>264</v>
      </c>
      <c r="G42" s="24" t="s">
        <v>265</v>
      </c>
      <c r="H42" s="24" t="s">
        <v>185</v>
      </c>
      <c r="I42" s="24" t="s">
        <v>42</v>
      </c>
      <c r="J42" s="24" t="s">
        <v>266</v>
      </c>
      <c r="K42" s="20" t="s">
        <v>246</v>
      </c>
      <c r="U42" s="51"/>
      <c r="V42" s="51"/>
      <c r="W42" s="51"/>
      <c r="X42" s="51"/>
      <c r="Y42" s="51"/>
      <c r="Z42" s="51"/>
      <c r="AA42" s="51"/>
    </row>
    <row r="43" spans="1:27">
      <c r="F43" s="1" t="str">
        <f>$B$3</f>
        <v>Case 1</v>
      </c>
      <c r="G43" s="1">
        <v>0.5</v>
      </c>
      <c r="H43" s="2">
        <f>G8</f>
        <v>17.926847599085267</v>
      </c>
      <c r="I43" s="2">
        <f>B8</f>
        <v>17.562905070730281</v>
      </c>
      <c r="J43" s="2">
        <f>V8</f>
        <v>19.194651697633777</v>
      </c>
      <c r="K43" s="2">
        <f>Q8</f>
        <v>17.604199388759117</v>
      </c>
      <c r="U43" s="51"/>
      <c r="V43" s="51"/>
      <c r="W43" s="51"/>
      <c r="X43" s="51"/>
      <c r="Y43" s="51"/>
      <c r="Z43" s="51"/>
      <c r="AA43" s="51"/>
    </row>
    <row r="44" spans="1:27">
      <c r="F44" s="1" t="str">
        <f t="shared" ref="F44:F53" si="18">$B$3</f>
        <v>Case 1</v>
      </c>
      <c r="G44" s="1">
        <f>G43+0.1</f>
        <v>0.6</v>
      </c>
      <c r="H44" s="2">
        <f t="shared" ref="H44:H53" si="19">G9</f>
        <v>18.562492654981316</v>
      </c>
      <c r="I44" s="2">
        <f t="shared" ref="I44:I53" si="20">B9</f>
        <v>18.271338632297326</v>
      </c>
      <c r="J44" s="2">
        <f t="shared" ref="J44:J53" si="21">V9</f>
        <v>19.576735933820125</v>
      </c>
      <c r="K44" s="2">
        <f t="shared" ref="K44:K53" si="22">Q9</f>
        <v>18.26472826498064</v>
      </c>
    </row>
    <row r="45" spans="1:27">
      <c r="F45" s="1" t="str">
        <f t="shared" si="18"/>
        <v>Case 1</v>
      </c>
      <c r="G45" s="1">
        <f t="shared" ref="G45:G47" si="23">G44+0.1</f>
        <v>0.7</v>
      </c>
      <c r="H45" s="2">
        <f t="shared" si="19"/>
        <v>19.198137710877369</v>
      </c>
      <c r="I45" s="2">
        <f t="shared" si="20"/>
        <v>18.979772193864374</v>
      </c>
      <c r="J45" s="2">
        <f t="shared" si="21"/>
        <v>19.958820170006472</v>
      </c>
      <c r="K45" s="2">
        <f t="shared" si="22"/>
        <v>18.945726298497949</v>
      </c>
    </row>
    <row r="46" spans="1:27">
      <c r="F46" s="1" t="str">
        <f t="shared" si="18"/>
        <v>Case 1</v>
      </c>
      <c r="G46" s="1">
        <f t="shared" si="23"/>
        <v>0.79999999999999993</v>
      </c>
      <c r="H46" s="2">
        <f t="shared" si="19"/>
        <v>19.833782766773417</v>
      </c>
      <c r="I46" s="2">
        <f t="shared" si="20"/>
        <v>19.688205755431422</v>
      </c>
      <c r="J46" s="2">
        <f t="shared" si="21"/>
        <v>20.34090440619282</v>
      </c>
      <c r="K46" s="2">
        <f t="shared" si="22"/>
        <v>19.646566049180574</v>
      </c>
    </row>
    <row r="47" spans="1:27">
      <c r="F47" s="1" t="str">
        <f t="shared" si="18"/>
        <v>Case 1</v>
      </c>
      <c r="G47" s="1">
        <f t="shared" si="23"/>
        <v>0.89999999999999991</v>
      </c>
      <c r="H47" s="2">
        <f t="shared" si="19"/>
        <v>20.46942782266947</v>
      </c>
      <c r="I47" s="2">
        <f t="shared" si="20"/>
        <v>20.396639316998471</v>
      </c>
      <c r="J47" s="2">
        <f t="shared" si="21"/>
        <v>20.722988642379171</v>
      </c>
      <c r="K47" s="2">
        <f t="shared" si="22"/>
        <v>20.366580994212068</v>
      </c>
    </row>
    <row r="48" spans="1:27">
      <c r="F48" s="1" t="str">
        <f t="shared" si="18"/>
        <v>Case 1</v>
      </c>
      <c r="G48" s="1">
        <f>G47+0.1</f>
        <v>0.99999999999999989</v>
      </c>
      <c r="H48" s="2">
        <f t="shared" si="19"/>
        <v>21.105072878565519</v>
      </c>
      <c r="I48" s="2">
        <f t="shared" si="20"/>
        <v>21.105072878565519</v>
      </c>
      <c r="J48" s="2">
        <f t="shared" si="21"/>
        <v>21.105072878565519</v>
      </c>
      <c r="K48" s="2">
        <f t="shared" si="22"/>
        <v>21.105072878565522</v>
      </c>
    </row>
    <row r="49" spans="6:17">
      <c r="F49" s="1" t="str">
        <f t="shared" si="18"/>
        <v>Case 1</v>
      </c>
      <c r="G49" s="1">
        <f>G48+0.1</f>
        <v>1.0999999999999999</v>
      </c>
      <c r="H49" s="2">
        <f t="shared" si="19"/>
        <v>21.740717934461571</v>
      </c>
      <c r="I49" s="2">
        <f t="shared" si="20"/>
        <v>21.813506440132567</v>
      </c>
      <c r="J49" s="2">
        <f t="shared" si="21"/>
        <v>21.487157114751867</v>
      </c>
      <c r="K49" s="2">
        <f t="shared" si="22"/>
        <v>21.861318903323845</v>
      </c>
    </row>
    <row r="50" spans="6:17">
      <c r="F50" s="1" t="str">
        <f t="shared" si="18"/>
        <v>Case 1</v>
      </c>
      <c r="G50" s="1">
        <f t="shared" ref="G50:G53" si="24">G49+0.1</f>
        <v>1.2</v>
      </c>
      <c r="H50" s="2">
        <f t="shared" si="19"/>
        <v>22.37636299035762</v>
      </c>
      <c r="I50" s="2">
        <f t="shared" si="20"/>
        <v>22.521940001699615</v>
      </c>
      <c r="J50" s="2">
        <f t="shared" si="21"/>
        <v>21.869241350938218</v>
      </c>
      <c r="K50" s="2">
        <f t="shared" si="22"/>
        <v>22.634578637436103</v>
      </c>
    </row>
    <row r="51" spans="6:17">
      <c r="F51" s="1" t="str">
        <f t="shared" si="18"/>
        <v>Case 1</v>
      </c>
      <c r="G51" s="1">
        <f t="shared" si="24"/>
        <v>1.3</v>
      </c>
      <c r="H51" s="2">
        <f t="shared" si="19"/>
        <v>23.012008046253673</v>
      </c>
      <c r="I51" s="2">
        <f t="shared" si="20"/>
        <v>23.230373563266664</v>
      </c>
      <c r="J51" s="2">
        <f t="shared" si="21"/>
        <v>22.251325587124569</v>
      </c>
      <c r="K51" s="2">
        <f t="shared" si="22"/>
        <v>23.424100557507561</v>
      </c>
      <c r="M51" s="1" t="s">
        <v>267</v>
      </c>
    </row>
    <row r="52" spans="6:17">
      <c r="F52" s="1" t="str">
        <f t="shared" si="18"/>
        <v>Case 1</v>
      </c>
      <c r="G52" s="1">
        <f t="shared" si="24"/>
        <v>1.4000000000000001</v>
      </c>
      <c r="H52" s="2">
        <f t="shared" si="19"/>
        <v>23.647653102149722</v>
      </c>
      <c r="I52" s="2">
        <f t="shared" si="20"/>
        <v>23.938807124833716</v>
      </c>
      <c r="J52" s="2">
        <f t="shared" si="21"/>
        <v>22.633409823310913</v>
      </c>
      <c r="K52" s="2">
        <f t="shared" si="22"/>
        <v>24.229128139875229</v>
      </c>
    </row>
    <row r="53" spans="6:17">
      <c r="F53" s="1" t="str">
        <f t="shared" si="18"/>
        <v>Case 1</v>
      </c>
      <c r="G53" s="1">
        <f t="shared" si="24"/>
        <v>1.5000000000000002</v>
      </c>
      <c r="H53" s="2">
        <f t="shared" si="19"/>
        <v>24.283298158045774</v>
      </c>
      <c r="I53" s="2">
        <f t="shared" si="20"/>
        <v>24.64724068640076</v>
      </c>
      <c r="J53" s="2">
        <f t="shared" si="21"/>
        <v>23.015494059497264</v>
      </c>
      <c r="K53" s="2">
        <f t="shared" si="22"/>
        <v>25.048905448661582</v>
      </c>
    </row>
    <row r="57" spans="6:17">
      <c r="Q57" s="1" t="s">
        <v>268</v>
      </c>
    </row>
  </sheetData>
  <mergeCells count="8">
    <mergeCell ref="A1:Z1"/>
    <mergeCell ref="A6:D6"/>
    <mergeCell ref="K6:N6"/>
    <mergeCell ref="U6:X6"/>
    <mergeCell ref="U41:AA43"/>
    <mergeCell ref="A38:F38"/>
    <mergeCell ref="F6:I6"/>
    <mergeCell ref="P6:S6"/>
  </mergeCells>
  <dataValidations count="1">
    <dataValidation type="list" sqref="B3" xr:uid="{00000000-0002-0000-0600-000000000000}">
      <formula1>"Case 1,Case 2,Case 3,Case 4"</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0"/>
  <sheetViews>
    <sheetView tabSelected="1" workbookViewId="0">
      <selection activeCell="N17" sqref="N17"/>
    </sheetView>
  </sheetViews>
  <sheetFormatPr defaultRowHeight="14.4"/>
  <cols>
    <col min="1" max="1" width="24.8984375" customWidth="1"/>
    <col min="2" max="2" width="11.19921875" customWidth="1"/>
    <col min="3" max="3" width="10.09765625" customWidth="1"/>
    <col min="4" max="4" width="11.09765625" customWidth="1"/>
    <col min="5" max="5" width="12.19921875" customWidth="1"/>
    <col min="6" max="7" width="10.3984375" customWidth="1"/>
    <col min="9" max="9" width="28.09765625" customWidth="1"/>
    <col min="10" max="10" width="7.69921875" customWidth="1"/>
  </cols>
  <sheetData>
    <row r="1" spans="1:10">
      <c r="A1" s="52" t="s">
        <v>269</v>
      </c>
      <c r="B1" s="52"/>
      <c r="C1" s="52"/>
      <c r="D1" s="52"/>
      <c r="E1" s="52"/>
      <c r="F1" s="52"/>
      <c r="G1" s="52"/>
    </row>
    <row r="2" spans="1:10">
      <c r="A2" s="28"/>
      <c r="B2" s="28"/>
      <c r="C2" s="28"/>
      <c r="D2" s="28"/>
      <c r="E2" s="28"/>
      <c r="F2" s="28"/>
      <c r="G2" s="28"/>
    </row>
    <row r="3" spans="1:10" ht="11.4" customHeight="1">
      <c r="A3" s="28" t="s">
        <v>180</v>
      </c>
      <c r="B3" s="28"/>
      <c r="C3" s="54" t="s">
        <v>270</v>
      </c>
      <c r="D3" s="54"/>
      <c r="E3" s="54"/>
      <c r="F3" s="28"/>
      <c r="G3" s="28"/>
      <c r="I3" s="20" t="s">
        <v>242</v>
      </c>
      <c r="J3" s="19">
        <f>MATCH($C$4, 'LCOH '!$B$3:'LCOH '!$E$3,0)</f>
        <v>1</v>
      </c>
    </row>
    <row r="4" spans="1:10">
      <c r="A4" s="28" t="s">
        <v>203</v>
      </c>
      <c r="B4" s="28"/>
      <c r="C4" s="33" t="s">
        <v>73</v>
      </c>
      <c r="D4" s="28"/>
      <c r="E4" s="28"/>
      <c r="F4" s="28"/>
      <c r="G4" s="28"/>
      <c r="I4" s="20" t="s">
        <v>271</v>
      </c>
      <c r="J4" s="19" cm="1">
        <f t="array" ref="J4">INDEX('Case Inputs'!$C$6:$F$6,1,'OAT Scenario Curves'!$Z$3)</f>
        <v>738.4</v>
      </c>
    </row>
    <row r="5" spans="1:10">
      <c r="A5" s="28" t="s">
        <v>204</v>
      </c>
      <c r="B5" s="28"/>
      <c r="C5" s="3">
        <f>INDEX('LCOH '!$B$15:$E$15,1,MATCH($C$4,'LCOH '!$B$3:$E$3,0))</f>
        <v>21.105072878565519</v>
      </c>
      <c r="D5" s="28"/>
      <c r="E5" s="28"/>
      <c r="F5" s="28"/>
      <c r="G5" s="28"/>
      <c r="I5" s="20" t="s">
        <v>244</v>
      </c>
      <c r="J5" s="19" cm="1">
        <f t="array" ref="J5">INDEX('Annualized Costs'!$B$22:'Annualized Costs'!$E$22,1,'Two-parameters sensitivity'!$J$3)</f>
        <v>15583.98581353278</v>
      </c>
    </row>
    <row r="6" spans="1:10">
      <c r="A6" s="28"/>
      <c r="B6" s="28"/>
      <c r="C6" s="28"/>
      <c r="D6" s="28"/>
      <c r="E6" s="28"/>
      <c r="F6" s="28"/>
      <c r="G6" s="28"/>
      <c r="I6" s="20" t="s">
        <v>272</v>
      </c>
      <c r="J6" s="19">
        <f>SUM(INDEX('Annualized Costs'!$B$5:$E$5,1,$J$3),INDEX('Annualized Costs'!$B$12:$E$12,1,$J$3),INDEX('Annualized Costs'!$B$16:$E$16,1,$J$3))</f>
        <v>7455.9726186110838</v>
      </c>
    </row>
    <row r="7" spans="1:10">
      <c r="A7" s="52" t="s">
        <v>273</v>
      </c>
      <c r="B7" s="52"/>
      <c r="C7" s="52"/>
      <c r="D7" s="52"/>
      <c r="E7" s="52"/>
      <c r="F7" s="52"/>
      <c r="G7" s="52"/>
      <c r="I7" s="20" t="s">
        <v>274</v>
      </c>
      <c r="J7" s="19">
        <f>SUM(INDEX('Annualized Costs'!$B$9:$E$9,1,$J$3),INDEX('Annualized Costs'!$B$10:$E$10,1,$J$3),INDEX('Annualized Costs'!$B$14:$E$14,1,$J$3))</f>
        <v>676.4045165588858</v>
      </c>
    </row>
    <row r="8" spans="1:10">
      <c r="A8" s="29" t="s">
        <v>275</v>
      </c>
      <c r="B8" s="30">
        <v>0.5</v>
      </c>
      <c r="C8" s="30">
        <v>0.6</v>
      </c>
      <c r="D8" s="30">
        <v>0.8</v>
      </c>
      <c r="E8" s="30">
        <v>1</v>
      </c>
      <c r="F8" s="30">
        <v>1.2</v>
      </c>
      <c r="G8" s="30">
        <v>1.4</v>
      </c>
      <c r="H8" s="30">
        <v>1.5</v>
      </c>
      <c r="I8" s="20" t="s">
        <v>256</v>
      </c>
      <c r="J8" s="19">
        <f>$J$5/$J$4</f>
        <v>21.105072878565519</v>
      </c>
    </row>
    <row r="9" spans="1:10">
      <c r="A9" s="31">
        <v>0.5</v>
      </c>
      <c r="B9" s="38">
        <f t="shared" ref="B9:H9" si="0">($J$5-$J$6-$J$7+$J$6*$A9+$J$7*B$8)/$J$4</f>
        <v>15.598316963634609</v>
      </c>
      <c r="C9" s="36">
        <f t="shared" si="0"/>
        <v>15.68992104225851</v>
      </c>
      <c r="D9" s="36">
        <f t="shared" si="0"/>
        <v>15.873129199506312</v>
      </c>
      <c r="E9" s="36">
        <f t="shared" si="0"/>
        <v>16.056337356754113</v>
      </c>
      <c r="F9" s="36">
        <f t="shared" si="0"/>
        <v>16.239545514001914</v>
      </c>
      <c r="G9" s="36">
        <f t="shared" si="0"/>
        <v>16.422753671249719</v>
      </c>
      <c r="H9" s="36">
        <f t="shared" si="0"/>
        <v>16.514357749873618</v>
      </c>
    </row>
    <row r="10" spans="1:10">
      <c r="A10" s="31">
        <v>0.6</v>
      </c>
      <c r="B10" s="38">
        <f t="shared" ref="B10:B15" si="1">($J$5-$J$6-$J$7+$J$6*$A10+$J$7*B$8)/$J$4</f>
        <v>16.608064067996892</v>
      </c>
      <c r="C10" s="36">
        <f t="shared" ref="C10:H10" si="2">($J$5-$J$6-$J$7+$J$6*$A10+$J$7*C$8)/$J$4</f>
        <v>16.699668146620791</v>
      </c>
      <c r="D10" s="36">
        <f t="shared" si="2"/>
        <v>16.882876303868596</v>
      </c>
      <c r="E10" s="36">
        <f t="shared" si="2"/>
        <v>17.066084461116393</v>
      </c>
      <c r="F10" s="36">
        <f t="shared" si="2"/>
        <v>17.249292618364198</v>
      </c>
      <c r="G10" s="36">
        <f t="shared" si="2"/>
        <v>17.432500775611999</v>
      </c>
      <c r="H10" s="36">
        <f t="shared" si="2"/>
        <v>17.524104854235901</v>
      </c>
    </row>
    <row r="11" spans="1:10">
      <c r="A11" s="31">
        <v>0.8</v>
      </c>
      <c r="B11" s="38">
        <f t="shared" si="1"/>
        <v>18.627558276721455</v>
      </c>
      <c r="C11" s="36">
        <f t="shared" ref="C11:H15" si="3">($J$5-$J$6-$J$7+$J$6*$A11+$J$7*C$8)/$J$4</f>
        <v>18.719162355345354</v>
      </c>
      <c r="D11" s="36">
        <f t="shared" si="3"/>
        <v>18.902370512593158</v>
      </c>
      <c r="E11" s="36">
        <f t="shared" si="3"/>
        <v>19.085578669840956</v>
      </c>
      <c r="F11" s="36">
        <f t="shared" si="3"/>
        <v>19.268786827088761</v>
      </c>
      <c r="G11" s="36">
        <f t="shared" si="3"/>
        <v>19.451994984336562</v>
      </c>
      <c r="H11" s="36">
        <f t="shared" si="3"/>
        <v>19.543599062960464</v>
      </c>
    </row>
    <row r="12" spans="1:10">
      <c r="A12" s="31">
        <v>1</v>
      </c>
      <c r="B12" s="38">
        <f t="shared" si="1"/>
        <v>20.647052485446014</v>
      </c>
      <c r="C12" s="36">
        <f t="shared" si="3"/>
        <v>20.738656564069917</v>
      </c>
      <c r="D12" s="36">
        <f t="shared" si="3"/>
        <v>20.921864721317721</v>
      </c>
      <c r="E12" s="37">
        <f t="shared" si="3"/>
        <v>21.105072878565519</v>
      </c>
      <c r="F12" s="36">
        <f t="shared" si="3"/>
        <v>21.288281035813323</v>
      </c>
      <c r="G12" s="36">
        <f t="shared" si="3"/>
        <v>21.471489193061124</v>
      </c>
      <c r="H12" s="36">
        <f t="shared" si="3"/>
        <v>21.563093271685027</v>
      </c>
    </row>
    <row r="13" spans="1:10">
      <c r="A13" s="31">
        <v>1.2</v>
      </c>
      <c r="B13" s="38">
        <f t="shared" si="1"/>
        <v>22.666546694170577</v>
      </c>
      <c r="C13" s="36">
        <f t="shared" si="3"/>
        <v>22.75815077279448</v>
      </c>
      <c r="D13" s="36">
        <f t="shared" si="3"/>
        <v>22.941358930042284</v>
      </c>
      <c r="E13" s="36">
        <f t="shared" si="3"/>
        <v>23.124567087290085</v>
      </c>
      <c r="F13" s="36">
        <f t="shared" si="3"/>
        <v>23.307775244537886</v>
      </c>
      <c r="G13" s="36">
        <f t="shared" si="3"/>
        <v>23.490983401785691</v>
      </c>
      <c r="H13" s="36">
        <f t="shared" si="3"/>
        <v>23.58258748040959</v>
      </c>
    </row>
    <row r="14" spans="1:10">
      <c r="A14" s="31">
        <v>1.4</v>
      </c>
      <c r="B14" s="38">
        <f t="shared" si="1"/>
        <v>24.686040902895133</v>
      </c>
      <c r="C14" s="36">
        <f t="shared" ref="C14:G15" si="4">($J$5-$J$6-$J$7+$J$6*$A14+$J$7*C$8)/$J$4</f>
        <v>24.777644981519039</v>
      </c>
      <c r="D14" s="36">
        <f t="shared" si="4"/>
        <v>24.96085313876684</v>
      </c>
      <c r="E14" s="36">
        <f t="shared" si="4"/>
        <v>25.144061296014645</v>
      </c>
      <c r="F14" s="36">
        <f t="shared" si="4"/>
        <v>25.327269453262446</v>
      </c>
      <c r="G14" s="36">
        <f t="shared" si="4"/>
        <v>25.510477610510247</v>
      </c>
      <c r="H14" s="36">
        <f t="shared" si="3"/>
        <v>25.602081689134145</v>
      </c>
    </row>
    <row r="15" spans="1:10">
      <c r="A15" s="31">
        <v>1.5</v>
      </c>
      <c r="B15" s="38">
        <f t="shared" si="1"/>
        <v>25.695788007257416</v>
      </c>
      <c r="C15" s="36">
        <f t="shared" si="4"/>
        <v>25.787392085881319</v>
      </c>
      <c r="D15" s="36">
        <f t="shared" si="4"/>
        <v>25.970600243129123</v>
      </c>
      <c r="E15" s="36">
        <f t="shared" si="4"/>
        <v>26.153808400376924</v>
      </c>
      <c r="F15" s="36">
        <f t="shared" si="4"/>
        <v>26.337016557624729</v>
      </c>
      <c r="G15" s="36">
        <f t="shared" si="4"/>
        <v>26.52022471487253</v>
      </c>
      <c r="H15" s="36">
        <f t="shared" si="3"/>
        <v>26.611828793496429</v>
      </c>
    </row>
    <row r="16" spans="1:10">
      <c r="A16" s="52" t="s">
        <v>276</v>
      </c>
      <c r="B16" s="52"/>
      <c r="C16" s="52"/>
      <c r="D16" s="52"/>
      <c r="E16" s="52"/>
      <c r="F16" s="52"/>
      <c r="G16" s="52"/>
    </row>
    <row r="17" spans="1:8" ht="21" customHeight="1">
      <c r="A17" s="28" t="s">
        <v>277</v>
      </c>
      <c r="B17" s="28"/>
      <c r="C17" s="28"/>
      <c r="D17" s="28"/>
      <c r="E17" s="28"/>
      <c r="F17" s="28"/>
      <c r="G17" s="28"/>
    </row>
    <row r="18" spans="1:8" ht="22.2" customHeight="1">
      <c r="A18" s="55" t="s">
        <v>278</v>
      </c>
      <c r="B18" s="55"/>
      <c r="C18" s="55"/>
      <c r="D18" s="55"/>
      <c r="E18" s="55"/>
      <c r="F18" s="55"/>
      <c r="G18" s="55"/>
    </row>
    <row r="19" spans="1:8" ht="27" customHeight="1">
      <c r="A19" s="53" t="s">
        <v>279</v>
      </c>
      <c r="B19" s="53"/>
      <c r="C19" s="53"/>
      <c r="D19" s="53"/>
      <c r="E19" s="53"/>
      <c r="F19" s="53"/>
      <c r="G19" s="53"/>
      <c r="H19" s="53"/>
    </row>
    <row r="20" spans="1:8" ht="28.2" customHeight="1">
      <c r="A20" s="53" t="s">
        <v>280</v>
      </c>
      <c r="B20" s="53"/>
      <c r="C20" s="53"/>
      <c r="D20" s="53"/>
      <c r="E20" s="53"/>
      <c r="F20" s="53"/>
      <c r="G20" s="53"/>
      <c r="H20" s="53"/>
    </row>
    <row r="22" spans="1:8">
      <c r="A22" s="52" t="s">
        <v>273</v>
      </c>
      <c r="B22" s="52"/>
      <c r="C22" s="52"/>
      <c r="D22" s="52"/>
      <c r="E22" s="52"/>
      <c r="F22" s="52"/>
      <c r="G22" s="52"/>
    </row>
    <row r="23" spans="1:8">
      <c r="A23" s="29" t="s">
        <v>275</v>
      </c>
      <c r="B23" s="30">
        <v>0.5</v>
      </c>
      <c r="C23" s="30">
        <v>0.75</v>
      </c>
      <c r="D23" s="30">
        <v>1</v>
      </c>
      <c r="E23" s="30">
        <v>1.25</v>
      </c>
      <c r="F23" s="30">
        <v>1.5</v>
      </c>
      <c r="G23" s="30"/>
    </row>
    <row r="24" spans="1:8">
      <c r="A24" s="31">
        <v>0.5</v>
      </c>
      <c r="B24" s="38">
        <f>($J$5-$J$6-$J$7+$J$6*$A24+$J$7*B$23)/$J$4</f>
        <v>15.598316963634609</v>
      </c>
      <c r="C24" s="38">
        <f t="shared" ref="C24:F28" si="5">($J$5-$J$6-$J$7+$J$6*$A24+$J$7*C$23)/$J$4</f>
        <v>15.827327160194361</v>
      </c>
      <c r="D24" s="38">
        <f t="shared" si="5"/>
        <v>16.056337356754113</v>
      </c>
      <c r="E24" s="38">
        <f t="shared" si="5"/>
        <v>16.285347553313866</v>
      </c>
      <c r="F24" s="38">
        <f t="shared" si="5"/>
        <v>16.514357749873618</v>
      </c>
      <c r="G24" s="36"/>
    </row>
    <row r="25" spans="1:8">
      <c r="A25" s="31">
        <v>0.75</v>
      </c>
      <c r="B25" s="38">
        <f t="shared" ref="B25:B28" si="6">($J$5-$J$6-$J$7+$J$6*$A25+$J$7*B$23)/$J$4</f>
        <v>18.12268472454031</v>
      </c>
      <c r="C25" s="38">
        <f t="shared" si="5"/>
        <v>18.351694921100062</v>
      </c>
      <c r="D25" s="38">
        <f t="shared" si="5"/>
        <v>18.580705117659814</v>
      </c>
      <c r="E25" s="38">
        <f t="shared" si="5"/>
        <v>18.80971531421957</v>
      </c>
      <c r="F25" s="38">
        <f t="shared" si="5"/>
        <v>19.038725510779319</v>
      </c>
      <c r="G25" s="36"/>
    </row>
    <row r="26" spans="1:8">
      <c r="A26" s="31">
        <v>1</v>
      </c>
      <c r="B26" s="38">
        <f t="shared" si="6"/>
        <v>20.647052485446014</v>
      </c>
      <c r="C26" s="38">
        <f t="shared" si="5"/>
        <v>20.876062682005767</v>
      </c>
      <c r="D26" s="39">
        <f t="shared" si="5"/>
        <v>21.105072878565519</v>
      </c>
      <c r="E26" s="38">
        <f t="shared" si="5"/>
        <v>21.334083075125275</v>
      </c>
      <c r="F26" s="38">
        <f t="shared" si="5"/>
        <v>21.563093271685027</v>
      </c>
      <c r="G26" s="36"/>
    </row>
    <row r="27" spans="1:8">
      <c r="A27" s="31">
        <v>1.25</v>
      </c>
      <c r="B27" s="38">
        <f t="shared" si="6"/>
        <v>23.171420246351715</v>
      </c>
      <c r="C27" s="38">
        <f t="shared" si="5"/>
        <v>23.400430442911468</v>
      </c>
      <c r="D27" s="38">
        <f t="shared" si="5"/>
        <v>23.629440639471223</v>
      </c>
      <c r="E27" s="38">
        <f t="shared" si="5"/>
        <v>23.858450836030972</v>
      </c>
      <c r="F27" s="38">
        <f t="shared" si="5"/>
        <v>24.087461032590728</v>
      </c>
      <c r="G27" s="36"/>
    </row>
    <row r="28" spans="1:8">
      <c r="A28" s="31">
        <v>1.5</v>
      </c>
      <c r="B28" s="38">
        <f t="shared" si="6"/>
        <v>25.695788007257416</v>
      </c>
      <c r="C28" s="38">
        <f t="shared" si="5"/>
        <v>25.924798203817168</v>
      </c>
      <c r="D28" s="38">
        <f t="shared" si="5"/>
        <v>26.153808400376924</v>
      </c>
      <c r="E28" s="38">
        <f t="shared" si="5"/>
        <v>26.382818596936673</v>
      </c>
      <c r="F28" s="38">
        <f t="shared" si="5"/>
        <v>26.611828793496429</v>
      </c>
      <c r="G28" s="36"/>
    </row>
    <row r="29" spans="1:8">
      <c r="A29" s="31"/>
      <c r="B29" s="38"/>
      <c r="C29" s="36"/>
      <c r="D29" s="36"/>
      <c r="E29" s="36"/>
      <c r="F29" s="36"/>
      <c r="G29" s="36"/>
    </row>
    <row r="30" spans="1:8">
      <c r="G30" s="36"/>
    </row>
  </sheetData>
  <mergeCells count="8">
    <mergeCell ref="A22:G22"/>
    <mergeCell ref="A19:H19"/>
    <mergeCell ref="A20:H20"/>
    <mergeCell ref="A1:G1"/>
    <mergeCell ref="C3:E3"/>
    <mergeCell ref="A7:G7"/>
    <mergeCell ref="A16:G16"/>
    <mergeCell ref="A18:G18"/>
  </mergeCells>
  <conditionalFormatting sqref="B24:F28">
    <cfRule type="colorScale" priority="1">
      <colorScale>
        <cfvo type="min"/>
        <cfvo type="percentile" val="50"/>
        <cfvo type="max"/>
        <color rgb="FF63BE7B"/>
        <color rgb="FFFFEB84"/>
        <color rgb="FFF8696B"/>
      </colorScale>
    </cfRule>
  </conditionalFormatting>
  <conditionalFormatting sqref="B24:G29 G30">
    <cfRule type="colorScale" priority="13">
      <colorScale>
        <cfvo type="min"/>
        <cfvo type="percentile" val="50"/>
        <cfvo type="max"/>
        <color rgb="FF63BE7B"/>
        <color rgb="FFFFEB84"/>
        <color rgb="FFF8696B"/>
      </colorScale>
    </cfRule>
  </conditionalFormatting>
  <conditionalFormatting sqref="B9:H15">
    <cfRule type="colorScale" priority="4">
      <colorScale>
        <cfvo type="min"/>
        <cfvo type="percentile" val="50"/>
        <cfvo type="max"/>
        <color rgb="FF63BE7B"/>
        <color rgb="FFFFEB84"/>
        <color rgb="FFF8696B"/>
      </colorScale>
    </cfRule>
  </conditionalFormatting>
  <conditionalFormatting sqref="C24:G29 G30">
    <cfRule type="colorScale" priority="11">
      <colorScale>
        <cfvo type="min"/>
        <cfvo type="percentile" val="50"/>
        <cfvo type="max"/>
        <color rgb="FF63BE7B"/>
        <color rgb="FFFFEB84"/>
        <color rgb="FFF8696B"/>
      </colorScale>
    </cfRule>
  </conditionalFormatting>
  <conditionalFormatting sqref="C9:H15">
    <cfRule type="colorScale" priority="10">
      <colorScale>
        <cfvo type="min"/>
        <cfvo type="percentile" val="50"/>
        <cfvo type="max"/>
        <color rgb="FF63BE7B"/>
        <color rgb="FFFFEB84"/>
        <color rgb="FFF8696B"/>
      </colorScale>
    </cfRule>
  </conditionalFormatting>
  <dataValidations count="1">
    <dataValidation type="list" sqref="C4" xr:uid="{00000000-0002-0000-0700-000000000000}">
      <formula1>"Case 1,Case 2,Case 3,Case 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Economic Assumptions</vt:lpstr>
      <vt:lpstr>Case Inputs</vt:lpstr>
      <vt:lpstr>Annualized Costs</vt:lpstr>
      <vt:lpstr>LCOH </vt:lpstr>
      <vt:lpstr>OAT-Sensitivity</vt:lpstr>
      <vt:lpstr>OAT Scenario Curves</vt:lpstr>
      <vt:lpstr>Two-parameters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Dhakal Aditi - s2410767019</cp:lastModifiedBy>
  <dcterms:modified xsi:type="dcterms:W3CDTF">2026-10-16T19:21:06Z</dcterms:modified>
</cp:coreProperties>
</file>